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yosuke.mondo\Google_Drive\CustomSoft\nodoka\VersaPro-j-vg-s\"/>
    </mc:Choice>
  </mc:AlternateContent>
  <bookViews>
    <workbookView xWindow="0" yWindow="0" windowWidth="19200" windowHeight="6510"/>
  </bookViews>
  <sheets>
    <sheet name="preview" sheetId="6" r:id="rId1"/>
    <sheet name="VersaPro" sheetId="1" r:id="rId2"/>
    <sheet name="versaPro_homemoved.nodoka" sheetId="2" r:id="rId3"/>
    <sheet name="modkeys.nodoka" sheetId="3" r:id="rId4"/>
  </sheets>
  <definedNames>
    <definedName name="_xlnm._FilterDatabase" localSheetId="3" hidden="1">modkeys.nodoka!$A$4:$R$87</definedName>
    <definedName name="_xlnm._FilterDatabase" localSheetId="1" hidden="1">VersaPro!$A$3:$Q$94</definedName>
    <definedName name="_xlnm.Print_Area" localSheetId="0">preview!$A$1:$EQ$14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4" i="2" l="1"/>
  <c r="O74" i="2"/>
  <c r="P74" i="2"/>
  <c r="Q74" i="2"/>
  <c r="O60" i="2"/>
  <c r="P60" i="2"/>
  <c r="Q60" i="2"/>
  <c r="R60" i="2"/>
  <c r="O46" i="2"/>
  <c r="P46" i="2"/>
  <c r="Q46" i="2"/>
  <c r="R46" i="2"/>
  <c r="O32" i="2"/>
  <c r="P32" i="2"/>
  <c r="Q32" i="2"/>
  <c r="R32" i="2"/>
  <c r="O4" i="2"/>
  <c r="P4" i="2"/>
  <c r="Q4" i="2"/>
  <c r="R4" i="2"/>
  <c r="M18" i="2"/>
  <c r="N18" i="2"/>
  <c r="O18" i="2"/>
  <c r="P18" i="2"/>
  <c r="Q18" i="2"/>
  <c r="R18" i="2"/>
  <c r="A89" i="1"/>
  <c r="A90" i="1" s="1"/>
  <c r="A91" i="1" s="1"/>
  <c r="A92" i="1" s="1"/>
  <c r="A93" i="1" s="1"/>
  <c r="A94" i="1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91" i="1"/>
  <c r="G91" i="1"/>
  <c r="K91" i="1"/>
  <c r="O91" i="1"/>
  <c r="D92" i="1"/>
  <c r="H92" i="1"/>
  <c r="L92" i="1"/>
  <c r="P92" i="1"/>
  <c r="E93" i="1"/>
  <c r="I93" i="1"/>
  <c r="M93" i="1"/>
  <c r="Q93" i="1"/>
  <c r="F94" i="1"/>
  <c r="J94" i="1"/>
  <c r="N94" i="1"/>
  <c r="J91" i="1"/>
  <c r="C92" i="1"/>
  <c r="O92" i="1"/>
  <c r="L93" i="1"/>
  <c r="M94" i="1"/>
  <c r="D91" i="1"/>
  <c r="H91" i="1"/>
  <c r="L91" i="1"/>
  <c r="P91" i="1"/>
  <c r="E92" i="1"/>
  <c r="I92" i="1"/>
  <c r="M92" i="1"/>
  <c r="Q92" i="1"/>
  <c r="F93" i="1"/>
  <c r="J93" i="1"/>
  <c r="N93" i="1"/>
  <c r="C94" i="1"/>
  <c r="G94" i="1"/>
  <c r="K94" i="1"/>
  <c r="O94" i="1"/>
  <c r="N91" i="1"/>
  <c r="K92" i="1"/>
  <c r="H93" i="1"/>
  <c r="E94" i="1"/>
  <c r="Q94" i="1"/>
  <c r="E91" i="1"/>
  <c r="I91" i="1"/>
  <c r="M91" i="1"/>
  <c r="Q91" i="1"/>
  <c r="F92" i="1"/>
  <c r="J92" i="1"/>
  <c r="N92" i="1"/>
  <c r="C93" i="1"/>
  <c r="G93" i="1"/>
  <c r="K93" i="1"/>
  <c r="O93" i="1"/>
  <c r="D94" i="1"/>
  <c r="H94" i="1"/>
  <c r="L94" i="1"/>
  <c r="P94" i="1"/>
  <c r="F91" i="1"/>
  <c r="G92" i="1"/>
  <c r="D93" i="1"/>
  <c r="P93" i="1"/>
  <c r="I94" i="1"/>
  <c r="B92" i="1"/>
  <c r="B93" i="1"/>
  <c r="B91" i="1"/>
  <c r="B94" i="1"/>
  <c r="B89" i="1"/>
  <c r="B90" i="1"/>
  <c r="G90" i="1"/>
  <c r="K90" i="1"/>
  <c r="O90" i="1"/>
  <c r="N90" i="1"/>
  <c r="H90" i="1"/>
  <c r="L90" i="1"/>
  <c r="P90" i="1"/>
  <c r="I90" i="1"/>
  <c r="M90" i="1"/>
  <c r="Q90" i="1"/>
  <c r="J90" i="1"/>
  <c r="C90" i="1"/>
  <c r="D90" i="1"/>
  <c r="E90" i="1"/>
  <c r="F90" i="1"/>
  <c r="G89" i="1"/>
  <c r="K89" i="1"/>
  <c r="O89" i="1"/>
  <c r="P89" i="1"/>
  <c r="H89" i="1"/>
  <c r="L89" i="1"/>
  <c r="I89" i="1"/>
  <c r="M89" i="1"/>
  <c r="Q89" i="1"/>
  <c r="J89" i="1"/>
  <c r="N89" i="1"/>
  <c r="C89" i="1"/>
  <c r="D89" i="1"/>
  <c r="E89" i="1"/>
  <c r="F89" i="1"/>
  <c r="K3" i="6" l="1"/>
  <c r="EI13" i="6"/>
  <c r="EB13" i="6"/>
  <c r="DR13" i="6"/>
  <c r="DH13" i="6"/>
  <c r="CZ13" i="6"/>
  <c r="CS13" i="6"/>
  <c r="CK13" i="6"/>
  <c r="AX13" i="6"/>
  <c r="AP13" i="6"/>
  <c r="AE13" i="6"/>
  <c r="U13" i="6"/>
  <c r="K13" i="6"/>
  <c r="B13" i="6"/>
  <c r="EI11" i="6"/>
  <c r="EB11" i="6"/>
  <c r="DR11" i="6"/>
  <c r="DH11" i="6"/>
  <c r="CX11" i="6"/>
  <c r="CN11" i="6"/>
  <c r="CD11" i="6"/>
  <c r="BT11" i="6"/>
  <c r="BJ11" i="6"/>
  <c r="AZ11" i="6"/>
  <c r="AP11" i="6"/>
  <c r="AF11" i="6"/>
  <c r="V11" i="6"/>
  <c r="B11" i="6"/>
  <c r="B9" i="6"/>
  <c r="DW9" i="6"/>
  <c r="DM9" i="6"/>
  <c r="DC9" i="6"/>
  <c r="CS9" i="6"/>
  <c r="CI9" i="6"/>
  <c r="BY9" i="6"/>
  <c r="BO9" i="6"/>
  <c r="BE9" i="6"/>
  <c r="AU9" i="6"/>
  <c r="AK9" i="6"/>
  <c r="AA9" i="6"/>
  <c r="Q9" i="6"/>
  <c r="B7" i="6"/>
  <c r="ED7" i="6"/>
  <c r="DT7" i="6"/>
  <c r="DJ7" i="6"/>
  <c r="CZ7" i="6"/>
  <c r="CP7" i="6"/>
  <c r="CF7" i="6"/>
  <c r="BV7" i="6"/>
  <c r="BL7" i="6"/>
  <c r="BB7" i="6"/>
  <c r="AR7" i="6"/>
  <c r="AH7" i="6"/>
  <c r="X7" i="6"/>
  <c r="N7" i="6"/>
  <c r="B5" i="6"/>
  <c r="EI5" i="6"/>
  <c r="DY5" i="6"/>
  <c r="DO5" i="6"/>
  <c r="DE5" i="6"/>
  <c r="CU5" i="6"/>
  <c r="CK5" i="6"/>
  <c r="CA5" i="6"/>
  <c r="BR5" i="6"/>
  <c r="BH5" i="6"/>
  <c r="AW5" i="6"/>
  <c r="AM5" i="6"/>
  <c r="AD5" i="6"/>
  <c r="S5" i="6"/>
  <c r="I5" i="6"/>
  <c r="EJ3" i="6"/>
  <c r="EA3" i="6"/>
  <c r="DQ3" i="6"/>
  <c r="DH3" i="6"/>
  <c r="CY3" i="6"/>
  <c r="CQ3" i="6"/>
  <c r="CG3" i="6"/>
  <c r="BX3" i="6"/>
  <c r="BO3" i="6"/>
  <c r="BF3" i="6"/>
  <c r="AV3" i="6"/>
  <c r="AM3" i="6"/>
  <c r="AD3" i="6"/>
  <c r="U3" i="6"/>
  <c r="B3" i="6"/>
  <c r="B93" i="2" l="1"/>
  <c r="C4" i="2" l="1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B79" i="3"/>
  <c r="B80" i="3"/>
  <c r="B81" i="3"/>
  <c r="B82" i="3"/>
  <c r="B83" i="3"/>
  <c r="B84" i="3"/>
  <c r="B85" i="3"/>
  <c r="B86" i="3"/>
  <c r="B87" i="3"/>
  <c r="B78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B65" i="3"/>
  <c r="B66" i="3"/>
  <c r="B67" i="3"/>
  <c r="B68" i="3"/>
  <c r="B69" i="3"/>
  <c r="B70" i="3"/>
  <c r="B71" i="3"/>
  <c r="B72" i="3"/>
  <c r="B73" i="3"/>
  <c r="B64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B51" i="3"/>
  <c r="B52" i="3"/>
  <c r="B53" i="3"/>
  <c r="B54" i="3"/>
  <c r="B55" i="3"/>
  <c r="B56" i="3"/>
  <c r="B57" i="3"/>
  <c r="B58" i="3"/>
  <c r="B59" i="3"/>
  <c r="B5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7" i="3"/>
  <c r="B38" i="3"/>
  <c r="B39" i="3"/>
  <c r="B40" i="3"/>
  <c r="B41" i="3"/>
  <c r="B42" i="3"/>
  <c r="B43" i="3"/>
  <c r="B44" i="3"/>
  <c r="B45" i="3"/>
  <c r="B36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22" i="3"/>
  <c r="B8" i="3"/>
  <c r="A87" i="3"/>
  <c r="A86" i="3"/>
  <c r="A85" i="3"/>
  <c r="A84" i="3"/>
  <c r="A83" i="3"/>
  <c r="A82" i="3"/>
  <c r="A81" i="3"/>
  <c r="A80" i="3"/>
  <c r="A79" i="3"/>
  <c r="A78" i="3"/>
  <c r="A73" i="3"/>
  <c r="A72" i="3"/>
  <c r="A71" i="3"/>
  <c r="A70" i="3"/>
  <c r="A69" i="3"/>
  <c r="A68" i="3"/>
  <c r="A67" i="3"/>
  <c r="A66" i="3"/>
  <c r="A65" i="3"/>
  <c r="A64" i="3"/>
  <c r="A59" i="3"/>
  <c r="A58" i="3"/>
  <c r="A57" i="3"/>
  <c r="A56" i="3"/>
  <c r="A55" i="3"/>
  <c r="A54" i="3"/>
  <c r="A53" i="3"/>
  <c r="A52" i="3"/>
  <c r="A51" i="3"/>
  <c r="A50" i="3"/>
  <c r="A45" i="3"/>
  <c r="A44" i="3"/>
  <c r="A43" i="3"/>
  <c r="A42" i="3"/>
  <c r="A41" i="3"/>
  <c r="A40" i="3"/>
  <c r="A39" i="3"/>
  <c r="A38" i="3"/>
  <c r="A37" i="3"/>
  <c r="A36" i="3"/>
  <c r="A31" i="3"/>
  <c r="A30" i="3"/>
  <c r="A29" i="3"/>
  <c r="A28" i="3"/>
  <c r="A27" i="3"/>
  <c r="A26" i="3"/>
  <c r="A25" i="3"/>
  <c r="A24" i="3"/>
  <c r="A23" i="3"/>
  <c r="A22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9" i="3"/>
  <c r="B10" i="3"/>
  <c r="B11" i="3"/>
  <c r="B12" i="3"/>
  <c r="B13" i="3"/>
  <c r="B14" i="3"/>
  <c r="B15" i="3"/>
  <c r="B16" i="3"/>
  <c r="B17" i="3"/>
  <c r="A9" i="3"/>
  <c r="A10" i="3"/>
  <c r="A11" i="3"/>
  <c r="A12" i="3"/>
  <c r="A13" i="3"/>
  <c r="A14" i="3"/>
  <c r="A15" i="3"/>
  <c r="A16" i="3"/>
  <c r="A17" i="3"/>
  <c r="A8" i="3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6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1" i="2"/>
  <c r="B3" i="3" l="1"/>
  <c r="B92" i="2"/>
  <c r="B91" i="2"/>
  <c r="B90" i="2"/>
  <c r="B89" i="2"/>
  <c r="B88" i="2"/>
  <c r="B74" i="2"/>
  <c r="C74" i="2"/>
  <c r="D74" i="2"/>
  <c r="E74" i="2"/>
  <c r="F74" i="2"/>
  <c r="G74" i="2"/>
  <c r="H74" i="2"/>
  <c r="I74" i="2"/>
  <c r="J74" i="2"/>
  <c r="N74" i="2"/>
  <c r="M74" i="2"/>
  <c r="L74" i="2"/>
  <c r="K74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L18" i="2"/>
  <c r="K18" i="2"/>
  <c r="J18" i="2"/>
  <c r="I18" i="2"/>
  <c r="H18" i="2"/>
  <c r="G18" i="2"/>
  <c r="F18" i="2"/>
  <c r="E18" i="2"/>
  <c r="D18" i="2"/>
  <c r="C18" i="2"/>
  <c r="B18" i="2"/>
  <c r="D4" i="2" l="1"/>
  <c r="E4" i="2"/>
  <c r="F4" i="2"/>
  <c r="G4" i="2"/>
  <c r="H4" i="2"/>
  <c r="I4" i="2"/>
  <c r="J4" i="2"/>
  <c r="K4" i="2"/>
  <c r="L4" i="2"/>
  <c r="M4" i="2"/>
  <c r="N4" i="2"/>
  <c r="B4" i="2"/>
</calcChain>
</file>

<file path=xl/sharedStrings.xml><?xml version="1.0" encoding="utf-8"?>
<sst xmlns="http://schemas.openxmlformats.org/spreadsheetml/2006/main" count="712" uniqueCount="262">
  <si>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</si>
  <si>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</si>
  <si>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</si>
  <si>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</si>
  <si>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</si>
  <si>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</si>
  <si>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</si>
  <si>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</si>
  <si>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</si>
  <si>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</si>
  <si>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</si>
  <si>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</si>
  <si>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</si>
  <si>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Pause</t>
  </si>
  <si>
    <t>Insert</t>
  </si>
  <si>
    <t>Delete</t>
  </si>
  <si>
    <t>半角/全角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</si>
  <si>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</si>
  <si>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</si>
  <si>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</si>
  <si>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</si>
  <si>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</si>
  <si>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</si>
  <si>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</si>
  <si>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</si>
  <si>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</si>
  <si>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_0</t>
  </si>
  <si>
    <t>HyphenMinus</t>
  </si>
  <si>
    <t>CircumflexAccent</t>
  </si>
  <si>
    <t>YenSign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</si>
  <si>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</si>
  <si>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</si>
  <si>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</si>
  <si>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</si>
  <si>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</si>
  <si>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</si>
  <si>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</si>
  <si>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</si>
  <si>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</si>
  <si>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</si>
  <si>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</si>
  <si>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</si>
  <si>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CommercialAt</t>
  </si>
  <si>
    <t>LeftSquareBracket</t>
  </si>
  <si>
    <t>Enter</t>
  </si>
  <si>
    <t>英数</t>
  </si>
  <si>
    <t>A</t>
  </si>
  <si>
    <t>S</t>
  </si>
  <si>
    <t>D</t>
  </si>
  <si>
    <t>F</t>
  </si>
  <si>
    <t>G</t>
  </si>
  <si>
    <t>H</t>
  </si>
  <si>
    <t>J</t>
  </si>
  <si>
    <t>K</t>
  </si>
  <si>
    <t>L</t>
  </si>
  <si>
    <t>Semicolon</t>
  </si>
  <si>
    <t>Colon</t>
  </si>
  <si>
    <t>RightSquareBracket</t>
  </si>
  <si>
    <t>LeftShift</t>
  </si>
  <si>
    <t>Z</t>
  </si>
  <si>
    <t>X</t>
  </si>
  <si>
    <t>C</t>
  </si>
  <si>
    <t>V</t>
  </si>
  <si>
    <t>B</t>
  </si>
  <si>
    <t>N</t>
  </si>
  <si>
    <t>M</t>
  </si>
  <si>
    <t>Comma</t>
  </si>
  <si>
    <t>FullStop</t>
  </si>
  <si>
    <t>Solidus</t>
  </si>
  <si>
    <t>ReverseSolidus</t>
  </si>
  <si>
    <t>RightShift</t>
  </si>
  <si>
    <t>LeftControl</t>
  </si>
  <si>
    <t>LeftWindows</t>
  </si>
  <si>
    <t>LeftAlt</t>
  </si>
  <si>
    <t>無変換</t>
  </si>
  <si>
    <t>Space</t>
  </si>
  <si>
    <t>ひらがな</t>
  </si>
  <si>
    <t>Applications</t>
  </si>
  <si>
    <t>RightControl</t>
  </si>
  <si>
    <t>←</t>
  </si>
  <si>
    <t>↓</t>
  </si>
  <si>
    <t>↑</t>
  </si>
  <si>
    <t>→</t>
  </si>
  <si>
    <t>変換</t>
    <phoneticPr fontId="2"/>
  </si>
  <si>
    <t>RightAlt</t>
  </si>
  <si>
    <t>subst</t>
    <phoneticPr fontId="2"/>
  </si>
  <si>
    <t>original</t>
    <phoneticPr fontId="2"/>
  </si>
  <si>
    <t>mod</t>
    <phoneticPr fontId="2"/>
  </si>
  <si>
    <t>Windows</t>
    <phoneticPr fontId="2"/>
  </si>
  <si>
    <t>Ctrl</t>
  </si>
  <si>
    <t>Ctrl</t>
    <phoneticPr fontId="2"/>
  </si>
  <si>
    <t>Alt</t>
    <phoneticPr fontId="2"/>
  </si>
  <si>
    <t>。</t>
  </si>
  <si>
    <t>L</t>
    <phoneticPr fontId="2"/>
  </si>
  <si>
    <t>／</t>
    <phoneticPr fontId="2"/>
  </si>
  <si>
    <t>Minus</t>
    <phoneticPr fontId="2"/>
  </si>
  <si>
    <t>S</t>
    <phoneticPr fontId="2"/>
  </si>
  <si>
    <t>HyphenMinus</t>
    <phoneticPr fontId="2"/>
  </si>
  <si>
    <t>V</t>
    <phoneticPr fontId="2"/>
  </si>
  <si>
    <t>Z</t>
    <phoneticPr fontId="2"/>
  </si>
  <si>
    <t>YenSign</t>
    <phoneticPr fontId="2"/>
  </si>
  <si>
    <t>Tab</t>
    <phoneticPr fontId="2"/>
  </si>
  <si>
    <t>F9</t>
    <phoneticPr fontId="2"/>
  </si>
  <si>
    <t>F10</t>
    <phoneticPr fontId="2"/>
  </si>
  <si>
    <t>F11</t>
    <phoneticPr fontId="2"/>
  </si>
  <si>
    <t>F12</t>
    <phoneticPr fontId="2"/>
  </si>
  <si>
    <t>mod0</t>
    <phoneticPr fontId="2"/>
  </si>
  <si>
    <t>mod1</t>
    <phoneticPr fontId="2"/>
  </si>
  <si>
    <t>mod3</t>
    <phoneticPr fontId="2"/>
  </si>
  <si>
    <t>mod4</t>
    <phoneticPr fontId="2"/>
  </si>
  <si>
    <t>mod5</t>
    <phoneticPr fontId="2"/>
  </si>
  <si>
    <t>mod6</t>
    <phoneticPr fontId="2"/>
  </si>
  <si>
    <t>mod7</t>
    <phoneticPr fontId="2"/>
  </si>
  <si>
    <t>mod9</t>
    <phoneticPr fontId="2"/>
  </si>
  <si>
    <t>mod0</t>
    <phoneticPr fontId="2"/>
  </si>
  <si>
    <t>mod1</t>
    <phoneticPr fontId="2"/>
  </si>
  <si>
    <t>mod2</t>
    <phoneticPr fontId="2"/>
  </si>
  <si>
    <t>mod8</t>
    <phoneticPr fontId="2"/>
  </si>
  <si>
    <t>type</t>
    <phoneticPr fontId="2"/>
  </si>
  <si>
    <t>key</t>
    <phoneticPr fontId="2"/>
  </si>
  <si>
    <t>F1</t>
    <phoneticPr fontId="2"/>
  </si>
  <si>
    <t>F2</t>
    <phoneticPr fontId="2"/>
  </si>
  <si>
    <t>_1</t>
    <phoneticPr fontId="2"/>
  </si>
  <si>
    <t>_2</t>
    <phoneticPr fontId="2"/>
  </si>
  <si>
    <t>_0</t>
    <phoneticPr fontId="2"/>
  </si>
  <si>
    <t>F12</t>
    <phoneticPr fontId="2"/>
  </si>
  <si>
    <t>←</t>
    <phoneticPr fontId="2"/>
  </si>
  <si>
    <t>→</t>
    <phoneticPr fontId="2"/>
  </si>
  <si>
    <t>A-S-C-Y</t>
    <phoneticPr fontId="2"/>
  </si>
  <si>
    <t>＠</t>
  </si>
  <si>
    <t>R</t>
    <phoneticPr fontId="2"/>
  </si>
  <si>
    <t>C</t>
    <phoneticPr fontId="2"/>
  </si>
  <si>
    <t>G</t>
    <phoneticPr fontId="2"/>
  </si>
  <si>
    <t>F</t>
    <phoneticPr fontId="2"/>
  </si>
  <si>
    <t>N</t>
    <phoneticPr fontId="2"/>
  </si>
  <si>
    <t>T</t>
    <phoneticPr fontId="2"/>
  </si>
  <si>
    <t>H</t>
    <phoneticPr fontId="2"/>
  </si>
  <si>
    <t>D</t>
    <phoneticPr fontId="2"/>
  </si>
  <si>
    <t>W</t>
    <phoneticPr fontId="2"/>
  </si>
  <si>
    <t>B</t>
    <phoneticPr fontId="2"/>
  </si>
  <si>
    <t>M</t>
    <phoneticPr fontId="2"/>
  </si>
  <si>
    <t>S-Tab</t>
    <phoneticPr fontId="2"/>
  </si>
  <si>
    <t>#</t>
    <phoneticPr fontId="2"/>
  </si>
  <si>
    <t>Atmark</t>
  </si>
  <si>
    <t># 開始</t>
    <rPh sb="2" eb="4">
      <t>カイシ</t>
    </rPh>
    <phoneticPr fontId="2"/>
  </si>
  <si>
    <t># 一段目</t>
    <rPh sb="2" eb="5">
      <t>イチダンメ</t>
    </rPh>
    <phoneticPr fontId="2"/>
  </si>
  <si>
    <t># ２段目</t>
    <rPh sb="3" eb="5">
      <t>ダンメ</t>
    </rPh>
    <phoneticPr fontId="2"/>
  </si>
  <si>
    <t># 3段目</t>
    <rPh sb="3" eb="5">
      <t>ダンメ</t>
    </rPh>
    <phoneticPr fontId="2"/>
  </si>
  <si>
    <t># 4段目</t>
    <rPh sb="3" eb="5">
      <t>ダンメ</t>
    </rPh>
    <phoneticPr fontId="2"/>
  </si>
  <si>
    <t># original</t>
    <phoneticPr fontId="2"/>
  </si>
  <si>
    <t># subst</t>
    <phoneticPr fontId="2"/>
  </si>
  <si>
    <t># mod</t>
    <phoneticPr fontId="2"/>
  </si>
  <si>
    <t>＠</t>
    <phoneticPr fontId="2"/>
  </si>
  <si>
    <t>#</t>
    <phoneticPr fontId="2"/>
  </si>
  <si>
    <t>#</t>
    <phoneticPr fontId="2"/>
  </si>
  <si>
    <t>BackSpace</t>
    <phoneticPr fontId="2"/>
  </si>
  <si>
    <t>$NUMBER_SIGN</t>
  </si>
  <si>
    <t>$DOLLAR_SIGN</t>
  </si>
  <si>
    <t>$PERCENT_SIGN</t>
  </si>
  <si>
    <t>$AMPERSAND</t>
  </si>
  <si>
    <t>$VERTICAL_LINE</t>
  </si>
  <si>
    <t>$LEFT_PARENTHESIS</t>
  </si>
  <si>
    <t>$RIGHT_PARENTHESIS</t>
  </si>
  <si>
    <t>$LEFT_CURLY_BRACKET</t>
  </si>
  <si>
    <t>$RIGHT_CURLY_BRACKET</t>
  </si>
  <si>
    <t>$LEFT_SQUARE_BRACKET</t>
  </si>
  <si>
    <t>$RIGHT_SQUARE_BRACKET</t>
  </si>
  <si>
    <t>$LESS-THAN_SIGN</t>
  </si>
  <si>
    <t>$GREATER-THAN_SIGN</t>
  </si>
  <si>
    <t>$QUESTION_MARK</t>
  </si>
  <si>
    <t>Slash</t>
  </si>
  <si>
    <t>$CIRCUMFLEX_ACCENT</t>
  </si>
  <si>
    <t>$EXCLAMATION_MARK</t>
  </si>
  <si>
    <t>$GRAVE_ACCENT</t>
  </si>
  <si>
    <t>$TILDE</t>
  </si>
  <si>
    <t>$ASTERISK</t>
  </si>
  <si>
    <t>$PLUS_SIGN</t>
  </si>
  <si>
    <t>$EQUALS_SIGN</t>
  </si>
  <si>
    <t>BackSlash</t>
  </si>
  <si>
    <t>／</t>
  </si>
  <si>
    <t>S-ー</t>
    <phoneticPr fontId="2"/>
  </si>
  <si>
    <t>C-Z</t>
    <phoneticPr fontId="2"/>
  </si>
  <si>
    <t>C-X</t>
    <phoneticPr fontId="2"/>
  </si>
  <si>
    <t>C-C</t>
    <phoneticPr fontId="2"/>
  </si>
  <si>
    <t>C-V</t>
    <phoneticPr fontId="2"/>
  </si>
  <si>
    <t>C-Y</t>
    <phoneticPr fontId="2"/>
  </si>
  <si>
    <t>C-S</t>
    <phoneticPr fontId="2"/>
  </si>
  <si>
    <t>C-W</t>
    <phoneticPr fontId="2"/>
  </si>
  <si>
    <t>A-X</t>
    <phoneticPr fontId="2"/>
  </si>
  <si>
    <t>S-Apps</t>
    <phoneticPr fontId="2"/>
  </si>
  <si>
    <t>C-R</t>
    <phoneticPr fontId="2"/>
  </si>
  <si>
    <t>C-A</t>
    <phoneticPr fontId="2"/>
  </si>
  <si>
    <t>C-F</t>
    <phoneticPr fontId="2"/>
  </si>
  <si>
    <t>C-J</t>
    <phoneticPr fontId="2"/>
  </si>
  <si>
    <t>A-Space</t>
    <phoneticPr fontId="2"/>
  </si>
  <si>
    <t>S-C-B</t>
  </si>
  <si>
    <t>F5</t>
    <phoneticPr fontId="2"/>
  </si>
  <si>
    <t>C-G</t>
    <phoneticPr fontId="2"/>
  </si>
  <si>
    <t>_7</t>
    <phoneticPr fontId="2"/>
  </si>
  <si>
    <t>_6</t>
    <phoneticPr fontId="2"/>
  </si>
  <si>
    <t>_8</t>
    <phoneticPr fontId="2"/>
  </si>
  <si>
    <t>_9</t>
    <phoneticPr fontId="2"/>
  </si>
  <si>
    <t>F7</t>
    <phoneticPr fontId="2"/>
  </si>
  <si>
    <t>F6</t>
    <phoneticPr fontId="2"/>
  </si>
  <si>
    <t>C-←</t>
    <phoneticPr fontId="2"/>
  </si>
  <si>
    <t>C-→</t>
    <phoneticPr fontId="2"/>
  </si>
  <si>
    <t>C-↓</t>
    <phoneticPr fontId="2"/>
  </si>
  <si>
    <t>C-↑</t>
    <phoneticPr fontId="2"/>
  </si>
  <si>
    <t>A-→</t>
    <phoneticPr fontId="2"/>
  </si>
  <si>
    <t>A-←</t>
    <phoneticPr fontId="2"/>
  </si>
  <si>
    <t>家</t>
    <rPh sb="0" eb="1">
      <t>イエ</t>
    </rPh>
    <phoneticPr fontId="2"/>
  </si>
  <si>
    <t>終</t>
    <rPh sb="0" eb="1">
      <t>オ</t>
    </rPh>
    <phoneticPr fontId="2"/>
  </si>
  <si>
    <t>S-家</t>
    <rPh sb="2" eb="3">
      <t>イエ</t>
    </rPh>
    <phoneticPr fontId="2"/>
  </si>
  <si>
    <t>S-終</t>
    <rPh sb="2" eb="3">
      <t>オ</t>
    </rPh>
    <phoneticPr fontId="2"/>
  </si>
  <si>
    <t>S-C-←</t>
    <phoneticPr fontId="2"/>
  </si>
  <si>
    <t>S-C-→</t>
    <phoneticPr fontId="2"/>
  </si>
  <si>
    <t>S-C-↓</t>
    <phoneticPr fontId="2"/>
  </si>
  <si>
    <t>S-C-↑</t>
    <phoneticPr fontId="2"/>
  </si>
  <si>
    <t>A-S-←</t>
    <phoneticPr fontId="2"/>
  </si>
  <si>
    <t>A-S-→</t>
    <phoneticPr fontId="2"/>
  </si>
  <si>
    <t>A-S-↓</t>
    <phoneticPr fontId="2"/>
  </si>
  <si>
    <t>A-S-↑</t>
    <phoneticPr fontId="2"/>
  </si>
  <si>
    <t>A-C-←</t>
    <phoneticPr fontId="2"/>
  </si>
  <si>
    <t>A-C-→</t>
    <phoneticPr fontId="2"/>
  </si>
  <si>
    <t>A-C-↓</t>
    <phoneticPr fontId="2"/>
  </si>
  <si>
    <t>A-C-↑</t>
    <phoneticPr fontId="2"/>
  </si>
  <si>
    <t>mod</t>
    <phoneticPr fontId="2"/>
  </si>
  <si>
    <t>mod0-9</t>
    <phoneticPr fontId="2"/>
  </si>
  <si>
    <t>mod0-9</t>
    <phoneticPr fontId="2"/>
  </si>
  <si>
    <t>#</t>
    <phoneticPr fontId="2"/>
  </si>
  <si>
    <t>#</t>
    <phoneticPr fontId="2"/>
  </si>
  <si>
    <t>↑</t>
    <phoneticPr fontId="2"/>
  </si>
  <si>
    <t>↓</t>
    <phoneticPr fontId="2"/>
  </si>
  <si>
    <t>C-F4</t>
    <phoneticPr fontId="2"/>
  </si>
  <si>
    <t>S-C-Tab</t>
    <phoneticPr fontId="2"/>
  </si>
  <si>
    <t>C-Tab</t>
    <phoneticPr fontId="2"/>
  </si>
  <si>
    <t>C-頭</t>
    <rPh sb="2" eb="3">
      <t>アタマ</t>
    </rPh>
    <phoneticPr fontId="2"/>
  </si>
  <si>
    <t>C-尻</t>
    <rPh sb="2" eb="3">
      <t>シリ</t>
    </rPh>
    <phoneticPr fontId="2"/>
  </si>
  <si>
    <t>A-↓</t>
    <phoneticPr fontId="2"/>
  </si>
  <si>
    <t>A-↑</t>
    <phoneticPr fontId="2"/>
  </si>
  <si>
    <t>LShift</t>
    <phoneticPr fontId="2"/>
  </si>
  <si>
    <t>Shift</t>
    <phoneticPr fontId="2"/>
  </si>
  <si>
    <t>mod2</t>
    <phoneticPr fontId="2"/>
  </si>
  <si>
    <t># else</t>
    <phoneticPr fontId="2"/>
  </si>
  <si>
    <t>Space</t>
    <phoneticPr fontId="2"/>
  </si>
  <si>
    <t>mod7</t>
    <phoneticPr fontId="2"/>
  </si>
  <si>
    <t>RightControl</t>
    <phoneticPr fontId="2"/>
  </si>
  <si>
    <t>RightAlt</t>
    <phoneticPr fontId="2"/>
  </si>
  <si>
    <t>Ctrl</t>
    <phoneticPr fontId="2"/>
  </si>
  <si>
    <t>Alt</t>
    <phoneticPr fontId="2"/>
  </si>
  <si>
    <t>S-↓</t>
    <phoneticPr fontId="2"/>
  </si>
  <si>
    <t>C-↓</t>
    <phoneticPr fontId="2"/>
  </si>
  <si>
    <t>Kanji</t>
    <phoneticPr fontId="2"/>
  </si>
  <si>
    <t>S-F3</t>
    <phoneticPr fontId="2"/>
  </si>
  <si>
    <t>F3</t>
    <phoneticPr fontId="2"/>
  </si>
  <si>
    <t>_4</t>
    <phoneticPr fontId="2"/>
  </si>
  <si>
    <t>S-↑</t>
    <phoneticPr fontId="2"/>
  </si>
  <si>
    <t>mod0</t>
  </si>
  <si>
    <t>Tab</t>
    <phoneticPr fontId="2"/>
  </si>
  <si>
    <t>S-Tab</t>
    <phoneticPr fontId="2"/>
  </si>
  <si>
    <t>A-F4</t>
    <phoneticPr fontId="2"/>
  </si>
  <si>
    <t>C-W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</si>
</sst>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medium">
        <color theme="0"/>
      </right>
      <top style="thin">
        <color indexed="64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theme="0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>
      <alignment vertical="center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shrinkToFit="1"/>
    </xf>
    <xf numFmtId="0" fontId="3" fillId="5" borderId="4" xfId="0" applyFont="1" applyFill="1" applyBorder="1" applyAlignment="1">
      <alignment vertical="center" shrinkToFi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vertical="center" shrinkToFit="1"/>
    </xf>
    <xf numFmtId="0" fontId="3" fillId="5" borderId="5" xfId="0" applyFont="1" applyFill="1" applyBorder="1" applyAlignment="1">
      <alignment vertical="center" shrinkToFit="1"/>
    </xf>
    <xf numFmtId="0" fontId="3" fillId="5" borderId="6" xfId="0" applyFont="1" applyFill="1" applyBorder="1" applyAlignment="1">
      <alignment vertical="center" shrinkToFit="1"/>
    </xf>
    <xf numFmtId="0" fontId="3" fillId="5" borderId="7" xfId="0" applyFont="1" applyFill="1" applyBorder="1" applyAlignment="1">
      <alignment vertical="center" shrinkToFi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9" xfId="0" applyFont="1" applyFill="1" applyBorder="1" applyAlignment="1">
      <alignment horizontal="center" vertical="center" shrinkToFit="1"/>
    </xf>
    <xf numFmtId="0" fontId="3" fillId="5" borderId="10" xfId="0" applyFont="1" applyFill="1" applyBorder="1" applyAlignment="1">
      <alignment horizontal="center" vertical="center" shrinkToFit="1"/>
    </xf>
    <xf numFmtId="0" fontId="3" fillId="5" borderId="4" xfId="0" applyFont="1" applyFill="1" applyBorder="1">
      <alignment vertical="center"/>
    </xf>
    <xf numFmtId="0" fontId="3" fillId="5" borderId="3" xfId="0" applyFont="1" applyFill="1" applyBorder="1" applyAlignment="1">
      <alignment vertical="center" shrinkToFit="1"/>
    </xf>
    <xf numFmtId="0" fontId="3" fillId="5" borderId="6" xfId="0" applyFont="1" applyFill="1" applyBorder="1">
      <alignment vertical="center"/>
    </xf>
    <xf numFmtId="0" fontId="3" fillId="5" borderId="12" xfId="0" applyFont="1" applyFill="1" applyBorder="1" applyAlignment="1">
      <alignment vertical="center" shrinkToFit="1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0" xfId="0" applyFont="1" applyFill="1" applyBorder="1" applyAlignment="1">
      <alignment vertical="center" shrinkToFit="1"/>
    </xf>
    <xf numFmtId="0" fontId="3" fillId="5" borderId="11" xfId="0" applyFont="1" applyFill="1" applyBorder="1" applyAlignment="1">
      <alignment vertical="center" shrinkToFit="1"/>
    </xf>
    <xf numFmtId="0" fontId="3" fillId="5" borderId="14" xfId="0" applyFont="1" applyFill="1" applyBorder="1" applyAlignment="1">
      <alignment horizontal="center" vertical="center" shrinkToFit="1"/>
    </xf>
    <xf numFmtId="0" fontId="3" fillId="5" borderId="15" xfId="0" applyFont="1" applyFill="1" applyBorder="1" applyAlignment="1">
      <alignment horizontal="center" vertical="center" shrinkToFit="1"/>
    </xf>
    <xf numFmtId="0" fontId="3" fillId="5" borderId="16" xfId="0" applyFont="1" applyFill="1" applyBorder="1" applyAlignment="1">
      <alignment horizontal="center" vertical="center" shrinkToFit="1"/>
    </xf>
    <xf numFmtId="0" fontId="3" fillId="5" borderId="17" xfId="0" applyFont="1" applyFill="1" applyBorder="1" applyAlignment="1">
      <alignment horizontal="center" vertical="center" shrinkToFit="1"/>
    </xf>
    <xf numFmtId="0" fontId="3" fillId="5" borderId="18" xfId="0" applyFont="1" applyFill="1" applyBorder="1" applyAlignment="1">
      <alignment horizontal="center" vertical="center" shrinkToFit="1"/>
    </xf>
    <xf numFmtId="0" fontId="3" fillId="5" borderId="19" xfId="0" applyFont="1" applyFill="1" applyBorder="1" applyAlignment="1">
      <alignment horizontal="center" vertical="center" shrinkToFit="1"/>
    </xf>
    <xf numFmtId="0" fontId="3" fillId="5" borderId="20" xfId="0" applyFont="1" applyFill="1" applyBorder="1" applyAlignment="1">
      <alignment horizontal="center" vertical="center" shrinkToFit="1"/>
    </xf>
    <xf numFmtId="0" fontId="3" fillId="5" borderId="21" xfId="0" applyFont="1" applyFill="1" applyBorder="1" applyAlignment="1">
      <alignment horizontal="center" vertical="center" shrinkToFit="1"/>
    </xf>
    <xf numFmtId="0" fontId="3" fillId="5" borderId="5" xfId="0" applyFont="1" applyFill="1" applyBorder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3" fillId="5" borderId="7" xfId="0" applyFont="1" applyFill="1" applyBorder="1">
      <alignment vertical="center"/>
    </xf>
    <xf numFmtId="0" fontId="3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164318</xdr:rowOff>
    </xdr:from>
    <xdr:to>
      <xdr:col>147</xdr:col>
      <xdr:colOff>437744</xdr:colOff>
      <xdr:row>34</xdr:row>
      <xdr:rowOff>75885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5"/>
        <a:stretch/>
      </xdr:blipFill>
      <xdr:spPr>
        <a:xfrm>
          <a:off x="0" y="4082706"/>
          <a:ext cx="9611305" cy="39317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T27"/>
  <sheetViews>
    <sheetView tabSelected="1" view="pageBreakPreview" zoomScale="160" zoomScaleNormal="115" zoomScaleSheetLayoutView="160" workbookViewId="0">
      <selection activeCell="AU15" sqref="AU15"/>
    </sheetView>
  </sheetViews>
  <sheetFormatPr defaultRowHeight="17.649999999999999" x14ac:dyDescent="0.7"/>
  <cols>
    <col min="1" max="147" width="0.8125" style="11" customWidth="1"/>
    <col min="148" max="16384" width="9" style="11"/>
  </cols>
  <sheetData>
    <row r="1" spans="1:150" ht="18" thickBot="1" x14ac:dyDescent="0.75">
      <c r="A1" s="10"/>
      <c r="B1" s="44" t="s">
        <v>257</v>
      </c>
      <c r="C1" s="45"/>
      <c r="D1" s="45"/>
      <c r="E1" s="45"/>
      <c r="F1" s="45"/>
      <c r="G1" s="45"/>
      <c r="H1" s="45"/>
      <c r="I1" s="45"/>
      <c r="J1" s="45"/>
      <c r="K1" s="46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</row>
    <row r="2" spans="1:150" ht="6.4" customHeight="1" thickBot="1" x14ac:dyDescent="0.75">
      <c r="A2" s="13"/>
      <c r="B2" s="42"/>
      <c r="C2" s="42"/>
      <c r="D2" s="43"/>
      <c r="E2" s="43"/>
      <c r="F2" s="43"/>
      <c r="G2" s="43"/>
      <c r="H2" s="43"/>
      <c r="I2" s="27"/>
      <c r="J2" s="27"/>
      <c r="K2" s="43"/>
      <c r="L2" s="40"/>
      <c r="M2" s="40"/>
      <c r="N2" s="40"/>
      <c r="O2" s="40"/>
      <c r="P2" s="40"/>
      <c r="Q2" s="40"/>
      <c r="R2" s="40"/>
      <c r="S2" s="14"/>
      <c r="T2" s="14"/>
      <c r="U2" s="41"/>
      <c r="V2" s="41"/>
      <c r="W2" s="41"/>
      <c r="X2" s="41"/>
      <c r="Y2" s="41"/>
      <c r="Z2" s="40"/>
      <c r="AA2" s="40"/>
      <c r="AB2" s="14"/>
      <c r="AC2" s="14"/>
      <c r="AD2" s="40"/>
      <c r="AE2" s="40"/>
      <c r="AF2" s="40"/>
      <c r="AG2" s="40"/>
      <c r="AH2" s="40"/>
      <c r="AI2" s="40"/>
      <c r="AJ2" s="40"/>
      <c r="AK2" s="14"/>
      <c r="AL2" s="14"/>
      <c r="AM2" s="40"/>
      <c r="AN2" s="40"/>
      <c r="AO2" s="40"/>
      <c r="AP2" s="40"/>
      <c r="AQ2" s="40"/>
      <c r="AR2" s="40"/>
      <c r="AS2" s="40"/>
      <c r="AT2" s="14"/>
      <c r="AU2" s="14"/>
      <c r="AV2" s="40"/>
      <c r="AW2" s="40"/>
      <c r="AX2" s="40"/>
      <c r="AY2" s="40"/>
      <c r="AZ2" s="40"/>
      <c r="BA2" s="40"/>
      <c r="BB2" s="40"/>
      <c r="BC2" s="40"/>
      <c r="BD2" s="14"/>
      <c r="BE2" s="14"/>
      <c r="BF2" s="40"/>
      <c r="BG2" s="40"/>
      <c r="BH2" s="40"/>
      <c r="BI2" s="40"/>
      <c r="BJ2" s="40"/>
      <c r="BK2" s="40"/>
      <c r="BL2" s="40"/>
      <c r="BM2" s="14"/>
      <c r="BN2" s="14"/>
      <c r="BO2" s="40"/>
      <c r="BP2" s="40"/>
      <c r="BQ2" s="40"/>
      <c r="BR2" s="40"/>
      <c r="BS2" s="40"/>
      <c r="BT2" s="40"/>
      <c r="BU2" s="40"/>
      <c r="BV2" s="14"/>
      <c r="BW2" s="14"/>
      <c r="BX2" s="40"/>
      <c r="BY2" s="40"/>
      <c r="BZ2" s="40"/>
      <c r="CA2" s="40"/>
      <c r="CB2" s="40"/>
      <c r="CC2" s="40"/>
      <c r="CD2" s="40"/>
      <c r="CE2" s="14"/>
      <c r="CF2" s="14"/>
      <c r="CG2" s="40"/>
      <c r="CH2" s="40"/>
      <c r="CI2" s="40"/>
      <c r="CJ2" s="40"/>
      <c r="CK2" s="40"/>
      <c r="CL2" s="40"/>
      <c r="CM2" s="40"/>
      <c r="CN2" s="40"/>
      <c r="CO2" s="13"/>
      <c r="CP2" s="13"/>
      <c r="CQ2" s="41"/>
      <c r="CR2" s="41"/>
      <c r="CS2" s="40"/>
      <c r="CT2" s="40"/>
      <c r="CU2" s="40"/>
      <c r="CV2" s="40"/>
      <c r="CW2" s="14"/>
      <c r="CX2" s="14"/>
      <c r="CY2" s="40"/>
      <c r="CZ2" s="40"/>
      <c r="DA2" s="40"/>
      <c r="DB2" s="40"/>
      <c r="DC2" s="40"/>
      <c r="DD2" s="40"/>
      <c r="DE2" s="40"/>
      <c r="DF2" s="14"/>
      <c r="DG2" s="14"/>
      <c r="DH2" s="40"/>
      <c r="DI2" s="40"/>
      <c r="DJ2" s="41"/>
      <c r="DK2" s="41"/>
      <c r="DL2" s="41"/>
      <c r="DM2" s="41"/>
      <c r="DN2" s="41"/>
      <c r="DO2" s="14"/>
      <c r="DP2" s="14"/>
      <c r="DQ2" s="40"/>
      <c r="DR2" s="40"/>
      <c r="DS2" s="40"/>
      <c r="DT2" s="40"/>
      <c r="DU2" s="40"/>
      <c r="DV2" s="40"/>
      <c r="DW2" s="40"/>
      <c r="DX2" s="40"/>
      <c r="DY2" s="14"/>
      <c r="DZ2" s="14"/>
      <c r="EA2" s="40"/>
      <c r="EB2" s="40"/>
      <c r="EC2" s="40"/>
      <c r="ED2" s="40"/>
      <c r="EE2" s="40"/>
      <c r="EF2" s="40"/>
      <c r="EG2" s="40"/>
      <c r="EH2" s="14"/>
      <c r="EI2" s="14"/>
      <c r="EJ2" s="40"/>
      <c r="EK2" s="40"/>
      <c r="EL2" s="40"/>
      <c r="EM2" s="40"/>
      <c r="EN2" s="40"/>
      <c r="EO2" s="40"/>
      <c r="EP2" s="40"/>
      <c r="EQ2" s="14"/>
    </row>
    <row r="3" spans="1:150" ht="18" thickBot="1" x14ac:dyDescent="0.75">
      <c r="A3" s="17"/>
      <c r="B3" s="22">
        <f ca="1">VersaPro!B89</f>
        <v>0</v>
      </c>
      <c r="C3" s="23"/>
      <c r="D3" s="23"/>
      <c r="E3" s="23"/>
      <c r="F3" s="23"/>
      <c r="G3" s="23"/>
      <c r="H3" s="24"/>
      <c r="I3" s="16"/>
      <c r="J3" s="18"/>
      <c r="K3" s="22">
        <f ca="1">VersaPro!C89</f>
        <v>0</v>
      </c>
      <c r="L3" s="23"/>
      <c r="M3" s="23"/>
      <c r="N3" s="23"/>
      <c r="O3" s="23"/>
      <c r="P3" s="23"/>
      <c r="Q3" s="23"/>
      <c r="R3" s="24"/>
      <c r="S3" s="16"/>
      <c r="T3" s="18"/>
      <c r="U3" s="22" t="str">
        <f ca="1">VersaPro!D89</f>
        <v>F9</v>
      </c>
      <c r="V3" s="23"/>
      <c r="W3" s="23"/>
      <c r="X3" s="23"/>
      <c r="Y3" s="23"/>
      <c r="Z3" s="23"/>
      <c r="AA3" s="24"/>
      <c r="AB3" s="16"/>
      <c r="AC3" s="18"/>
      <c r="AD3" s="22" t="str">
        <f ca="1">VersaPro!E89</f>
        <v>S-Tab</v>
      </c>
      <c r="AE3" s="23"/>
      <c r="AF3" s="23"/>
      <c r="AG3" s="23"/>
      <c r="AH3" s="23"/>
      <c r="AI3" s="23"/>
      <c r="AJ3" s="24"/>
      <c r="AK3" s="16"/>
      <c r="AL3" s="18"/>
      <c r="AM3" s="22" t="str">
        <f ca="1">VersaPro!F89</f>
        <v>Tab</v>
      </c>
      <c r="AN3" s="23"/>
      <c r="AO3" s="23"/>
      <c r="AP3" s="23"/>
      <c r="AQ3" s="23"/>
      <c r="AR3" s="23"/>
      <c r="AS3" s="24"/>
      <c r="AT3" s="16"/>
      <c r="AU3" s="18"/>
      <c r="AV3" s="22" t="str">
        <f ca="1">VersaPro!G89</f>
        <v>A-F4</v>
      </c>
      <c r="AW3" s="23"/>
      <c r="AX3" s="23"/>
      <c r="AY3" s="23"/>
      <c r="AZ3" s="23"/>
      <c r="BA3" s="23"/>
      <c r="BB3" s="23"/>
      <c r="BC3" s="24"/>
      <c r="BD3" s="16"/>
      <c r="BE3" s="18"/>
      <c r="BF3" s="22" t="str">
        <f ca="1">VersaPro!H89</f>
        <v>C-W</v>
      </c>
      <c r="BG3" s="23"/>
      <c r="BH3" s="23"/>
      <c r="BI3" s="23"/>
      <c r="BJ3" s="23"/>
      <c r="BK3" s="23"/>
      <c r="BL3" s="24"/>
      <c r="BM3" s="16"/>
      <c r="BN3" s="18"/>
      <c r="BO3" s="22">
        <f ca="1">VersaPro!I89</f>
        <v>0</v>
      </c>
      <c r="BP3" s="23"/>
      <c r="BQ3" s="23"/>
      <c r="BR3" s="23"/>
      <c r="BS3" s="23"/>
      <c r="BT3" s="23"/>
      <c r="BU3" s="24"/>
      <c r="BV3" s="16"/>
      <c r="BW3" s="18"/>
      <c r="BX3" s="22">
        <f ca="1">VersaPro!J89</f>
        <v>0</v>
      </c>
      <c r="BY3" s="23"/>
      <c r="BZ3" s="23"/>
      <c r="CA3" s="23"/>
      <c r="CB3" s="23"/>
      <c r="CC3" s="23"/>
      <c r="CD3" s="24"/>
      <c r="CE3" s="16"/>
      <c r="CF3" s="18"/>
      <c r="CG3" s="22">
        <f ca="1">VersaPro!K89</f>
        <v>0</v>
      </c>
      <c r="CH3" s="23"/>
      <c r="CI3" s="23"/>
      <c r="CJ3" s="23"/>
      <c r="CK3" s="23"/>
      <c r="CL3" s="23"/>
      <c r="CM3" s="23"/>
      <c r="CN3" s="24"/>
      <c r="CO3" s="16"/>
      <c r="CP3" s="18"/>
      <c r="CQ3" s="22" t="str">
        <f ca="1">VersaPro!L89</f>
        <v>＠</v>
      </c>
      <c r="CR3" s="23"/>
      <c r="CS3" s="23"/>
      <c r="CT3" s="23"/>
      <c r="CU3" s="23"/>
      <c r="CV3" s="24"/>
      <c r="CW3" s="16"/>
      <c r="CX3" s="18"/>
      <c r="CY3" s="22" t="str">
        <f ca="1">VersaPro!M89</f>
        <v>＠</v>
      </c>
      <c r="CZ3" s="23"/>
      <c r="DA3" s="23"/>
      <c r="DB3" s="23"/>
      <c r="DC3" s="23"/>
      <c r="DD3" s="23"/>
      <c r="DE3" s="24"/>
      <c r="DF3" s="16"/>
      <c r="DG3" s="18"/>
      <c r="DH3" s="22" t="str">
        <f ca="1">VersaPro!N89</f>
        <v>＠</v>
      </c>
      <c r="DI3" s="23"/>
      <c r="DJ3" s="23"/>
      <c r="DK3" s="23"/>
      <c r="DL3" s="23"/>
      <c r="DM3" s="23"/>
      <c r="DN3" s="24"/>
      <c r="DO3" s="16"/>
      <c r="DP3" s="18"/>
      <c r="DQ3" s="22">
        <f ca="1">VersaPro!O89</f>
        <v>0</v>
      </c>
      <c r="DR3" s="23"/>
      <c r="DS3" s="23"/>
      <c r="DT3" s="23"/>
      <c r="DU3" s="23"/>
      <c r="DV3" s="23"/>
      <c r="DW3" s="23"/>
      <c r="DX3" s="24"/>
      <c r="DY3" s="16"/>
      <c r="DZ3" s="18"/>
      <c r="EA3" s="22">
        <f ca="1">VersaPro!P89</f>
        <v>0</v>
      </c>
      <c r="EB3" s="23"/>
      <c r="EC3" s="23"/>
      <c r="ED3" s="23"/>
      <c r="EE3" s="23"/>
      <c r="EF3" s="23"/>
      <c r="EG3" s="24"/>
      <c r="EH3" s="16"/>
      <c r="EI3" s="18"/>
      <c r="EJ3" s="22">
        <f ca="1">VersaPro!Q89</f>
        <v>0</v>
      </c>
      <c r="EK3" s="23"/>
      <c r="EL3" s="23"/>
      <c r="EM3" s="23"/>
      <c r="EN3" s="23"/>
      <c r="EO3" s="23"/>
      <c r="EP3" s="24"/>
      <c r="EQ3" s="25"/>
      <c r="ES3" t="s">
        <v>86</v>
      </c>
      <c r="ET3" s="11">
        <v>1</v>
      </c>
    </row>
    <row r="4" spans="1:150" ht="7.15" customHeight="1" thickBot="1" x14ac:dyDescent="0.75">
      <c r="A4" s="14"/>
      <c r="B4" s="21"/>
      <c r="C4" s="21"/>
      <c r="D4" s="21"/>
      <c r="E4" s="21"/>
      <c r="F4" s="21"/>
      <c r="G4" s="20"/>
      <c r="H4" s="20"/>
      <c r="I4" s="19"/>
      <c r="J4" s="19"/>
      <c r="K4" s="21"/>
      <c r="L4" s="21"/>
      <c r="M4" s="21"/>
      <c r="N4" s="21"/>
      <c r="O4" s="21"/>
      <c r="P4" s="21"/>
      <c r="Q4" s="20"/>
      <c r="R4" s="20"/>
      <c r="S4" s="19"/>
      <c r="T4" s="19"/>
      <c r="U4" s="21"/>
      <c r="V4" s="21"/>
      <c r="W4" s="21"/>
      <c r="X4" s="21"/>
      <c r="Y4" s="21"/>
      <c r="Z4" s="21"/>
      <c r="AA4" s="21"/>
      <c r="AB4" s="15"/>
      <c r="AC4" s="15"/>
      <c r="AD4" s="21"/>
      <c r="AE4" s="21"/>
      <c r="AF4" s="21"/>
      <c r="AG4" s="21"/>
      <c r="AH4" s="21"/>
      <c r="AI4" s="21"/>
      <c r="AJ4" s="21"/>
      <c r="AK4" s="15"/>
      <c r="AL4" s="15"/>
      <c r="AM4" s="21"/>
      <c r="AN4" s="21"/>
      <c r="AO4" s="21"/>
      <c r="AP4" s="21"/>
      <c r="AQ4" s="21"/>
      <c r="AR4" s="21"/>
      <c r="AS4" s="21"/>
      <c r="AT4" s="19"/>
      <c r="AU4" s="15"/>
      <c r="AV4" s="20"/>
      <c r="AW4" s="21"/>
      <c r="AX4" s="21"/>
      <c r="AY4" s="21"/>
      <c r="AZ4" s="21"/>
      <c r="BA4" s="21"/>
      <c r="BB4" s="21"/>
      <c r="BC4" s="21"/>
      <c r="BD4" s="19"/>
      <c r="BE4" s="19"/>
      <c r="BF4" s="20"/>
      <c r="BG4" s="20"/>
      <c r="BH4" s="21"/>
      <c r="BI4" s="21"/>
      <c r="BJ4" s="21"/>
      <c r="BK4" s="21"/>
      <c r="BL4" s="21"/>
      <c r="BM4" s="19"/>
      <c r="BN4" s="19"/>
      <c r="BO4" s="21"/>
      <c r="BP4" s="20"/>
      <c r="BQ4" s="20"/>
      <c r="BR4" s="21"/>
      <c r="BS4" s="21"/>
      <c r="BT4" s="21"/>
      <c r="BU4" s="21"/>
      <c r="BV4" s="19"/>
      <c r="BW4" s="19"/>
      <c r="BX4" s="21"/>
      <c r="BY4" s="20"/>
      <c r="BZ4" s="20"/>
      <c r="CA4" s="21"/>
      <c r="CB4" s="21"/>
      <c r="CC4" s="21"/>
      <c r="CD4" s="21"/>
      <c r="CE4" s="19"/>
      <c r="CF4" s="19"/>
      <c r="CG4" s="21"/>
      <c r="CH4" s="21"/>
      <c r="CI4" s="20"/>
      <c r="CJ4" s="20"/>
      <c r="CK4" s="21"/>
      <c r="CL4" s="21"/>
      <c r="CM4" s="21"/>
      <c r="CN4" s="21"/>
      <c r="CO4" s="19"/>
      <c r="CP4" s="19"/>
      <c r="CQ4" s="21"/>
      <c r="CR4" s="21"/>
      <c r="CS4" s="20"/>
      <c r="CT4" s="20"/>
      <c r="CU4" s="21"/>
      <c r="CV4" s="21"/>
      <c r="CW4" s="19"/>
      <c r="CX4" s="19"/>
      <c r="CY4" s="21"/>
      <c r="CZ4" s="21"/>
      <c r="DA4" s="21"/>
      <c r="DB4" s="21"/>
      <c r="DC4" s="20"/>
      <c r="DD4" s="20"/>
      <c r="DE4" s="21"/>
      <c r="DF4" s="19"/>
      <c r="DG4" s="19"/>
      <c r="DH4" s="21"/>
      <c r="DI4" s="21"/>
      <c r="DJ4" s="21"/>
      <c r="DK4" s="21"/>
      <c r="DL4" s="21"/>
      <c r="DM4" s="20"/>
      <c r="DN4" s="20"/>
      <c r="DO4" s="19"/>
      <c r="DP4" s="19"/>
      <c r="DQ4" s="21"/>
      <c r="DR4" s="21"/>
      <c r="DS4" s="21"/>
      <c r="DT4" s="21"/>
      <c r="DU4" s="21"/>
      <c r="DV4" s="21"/>
      <c r="DW4" s="20"/>
      <c r="DX4" s="20"/>
      <c r="DY4" s="19"/>
      <c r="DZ4" s="19"/>
      <c r="EA4" s="21"/>
      <c r="EB4" s="21"/>
      <c r="EC4" s="21"/>
      <c r="ED4" s="21"/>
      <c r="EE4" s="21"/>
      <c r="EF4" s="21"/>
      <c r="EG4" s="20"/>
      <c r="EH4" s="15"/>
      <c r="EI4" s="19"/>
      <c r="EJ4" s="21"/>
      <c r="EK4" s="21"/>
      <c r="EL4" s="21"/>
      <c r="EM4" s="21"/>
      <c r="EN4" s="21"/>
      <c r="EO4" s="21"/>
      <c r="EP4" s="21"/>
      <c r="EQ4" s="14"/>
      <c r="ES4" t="s">
        <v>85</v>
      </c>
      <c r="ET4" s="11">
        <v>2</v>
      </c>
    </row>
    <row r="5" spans="1:150" ht="34.15" customHeight="1" thickBot="1" x14ac:dyDescent="0.75">
      <c r="A5" s="17"/>
      <c r="B5" s="22">
        <f ca="1">VersaPro!B90</f>
        <v>0</v>
      </c>
      <c r="C5" s="23"/>
      <c r="D5" s="23"/>
      <c r="E5" s="23"/>
      <c r="F5" s="24"/>
      <c r="G5" s="16"/>
      <c r="H5" s="18"/>
      <c r="I5" s="22">
        <f ca="1">VersaPro!C90</f>
        <v>0</v>
      </c>
      <c r="J5" s="23"/>
      <c r="K5" s="23"/>
      <c r="L5" s="23"/>
      <c r="M5" s="23"/>
      <c r="N5" s="23"/>
      <c r="O5" s="23"/>
      <c r="P5" s="24"/>
      <c r="Q5" s="16"/>
      <c r="R5" s="18"/>
      <c r="S5" s="22" t="str">
        <f ca="1">VersaPro!D90</f>
        <v>←</v>
      </c>
      <c r="T5" s="23"/>
      <c r="U5" s="23"/>
      <c r="V5" s="23"/>
      <c r="W5" s="23"/>
      <c r="X5" s="23"/>
      <c r="Y5" s="23"/>
      <c r="Z5" s="23"/>
      <c r="AA5" s="24"/>
      <c r="AB5" s="16"/>
      <c r="AC5" s="18"/>
      <c r="AD5" s="22" t="str">
        <f ca="1">VersaPro!E90</f>
        <v>→</v>
      </c>
      <c r="AE5" s="23"/>
      <c r="AF5" s="23"/>
      <c r="AG5" s="23"/>
      <c r="AH5" s="23"/>
      <c r="AI5" s="23"/>
      <c r="AJ5" s="24"/>
      <c r="AK5" s="16"/>
      <c r="AL5" s="18"/>
      <c r="AM5" s="22" t="str">
        <f ca="1">VersaPro!F90</f>
        <v>↓</v>
      </c>
      <c r="AN5" s="23"/>
      <c r="AO5" s="23"/>
      <c r="AP5" s="23"/>
      <c r="AQ5" s="23"/>
      <c r="AR5" s="23"/>
      <c r="AS5" s="23"/>
      <c r="AT5" s="24"/>
      <c r="AU5" s="16"/>
      <c r="AV5" s="18"/>
      <c r="AW5" s="22" t="str">
        <f ca="1">VersaPro!G90</f>
        <v>↑</v>
      </c>
      <c r="AX5" s="23"/>
      <c r="AY5" s="23"/>
      <c r="AZ5" s="23"/>
      <c r="BA5" s="23"/>
      <c r="BB5" s="23"/>
      <c r="BC5" s="23"/>
      <c r="BD5" s="23"/>
      <c r="BE5" s="24"/>
      <c r="BF5" s="16"/>
      <c r="BG5" s="18"/>
      <c r="BH5" s="22" t="str">
        <f ca="1">VersaPro!H90</f>
        <v>A-S-C-Y</v>
      </c>
      <c r="BI5" s="23"/>
      <c r="BJ5" s="23"/>
      <c r="BK5" s="23"/>
      <c r="BL5" s="23"/>
      <c r="BM5" s="23"/>
      <c r="BN5" s="23"/>
      <c r="BO5" s="24"/>
      <c r="BP5" s="16"/>
      <c r="BQ5" s="18"/>
      <c r="BR5" s="22" t="str">
        <f ca="1">VersaPro!I90</f>
        <v>＠</v>
      </c>
      <c r="BS5" s="23"/>
      <c r="BT5" s="23"/>
      <c r="BU5" s="23"/>
      <c r="BV5" s="23"/>
      <c r="BW5" s="23"/>
      <c r="BX5" s="24"/>
      <c r="BY5" s="16"/>
      <c r="BZ5" s="18"/>
      <c r="CA5" s="22" t="str">
        <f ca="1">VersaPro!J90</f>
        <v>家</v>
      </c>
      <c r="CB5" s="23"/>
      <c r="CC5" s="23"/>
      <c r="CD5" s="23"/>
      <c r="CE5" s="23"/>
      <c r="CF5" s="23"/>
      <c r="CG5" s="23"/>
      <c r="CH5" s="24"/>
      <c r="CI5" s="16"/>
      <c r="CJ5" s="18"/>
      <c r="CK5" s="22" t="str">
        <f ca="1">VersaPro!K90</f>
        <v>終</v>
      </c>
      <c r="CL5" s="23"/>
      <c r="CM5" s="23"/>
      <c r="CN5" s="23"/>
      <c r="CO5" s="23"/>
      <c r="CP5" s="23"/>
      <c r="CQ5" s="23"/>
      <c r="CR5" s="24"/>
      <c r="CS5" s="16"/>
      <c r="CT5" s="18"/>
      <c r="CU5" s="22" t="str">
        <f ca="1">VersaPro!L90</f>
        <v>＠</v>
      </c>
      <c r="CV5" s="23"/>
      <c r="CW5" s="23"/>
      <c r="CX5" s="23"/>
      <c r="CY5" s="23"/>
      <c r="CZ5" s="23"/>
      <c r="DA5" s="23"/>
      <c r="DB5" s="24"/>
      <c r="DC5" s="16"/>
      <c r="DD5" s="18"/>
      <c r="DE5" s="22" t="str">
        <f ca="1">VersaPro!M90</f>
        <v>＠</v>
      </c>
      <c r="DF5" s="23"/>
      <c r="DG5" s="23"/>
      <c r="DH5" s="23"/>
      <c r="DI5" s="23"/>
      <c r="DJ5" s="23"/>
      <c r="DK5" s="23"/>
      <c r="DL5" s="24"/>
      <c r="DM5" s="16"/>
      <c r="DN5" s="18"/>
      <c r="DO5" s="22" t="str">
        <f ca="1">VersaPro!N90</f>
        <v>＠</v>
      </c>
      <c r="DP5" s="23"/>
      <c r="DQ5" s="23"/>
      <c r="DR5" s="23"/>
      <c r="DS5" s="23"/>
      <c r="DT5" s="23"/>
      <c r="DU5" s="23"/>
      <c r="DV5" s="24"/>
      <c r="DW5" s="16"/>
      <c r="DX5" s="18"/>
      <c r="DY5" s="22">
        <f ca="1">VersaPro!O90</f>
        <v>0</v>
      </c>
      <c r="DZ5" s="23"/>
      <c r="EA5" s="23"/>
      <c r="EB5" s="23"/>
      <c r="EC5" s="23"/>
      <c r="ED5" s="23"/>
      <c r="EE5" s="23"/>
      <c r="EF5" s="24"/>
      <c r="EG5" s="16"/>
      <c r="EH5" s="18"/>
      <c r="EI5" s="22">
        <f ca="1">VersaPro!P90</f>
        <v>0</v>
      </c>
      <c r="EJ5" s="23"/>
      <c r="EK5" s="23"/>
      <c r="EL5" s="23"/>
      <c r="EM5" s="23"/>
      <c r="EN5" s="23"/>
      <c r="EO5" s="23"/>
      <c r="EP5" s="24"/>
      <c r="EQ5" s="25"/>
      <c r="ES5" t="s">
        <v>87</v>
      </c>
      <c r="ET5" s="11">
        <v>3</v>
      </c>
    </row>
    <row r="6" spans="1:150" ht="7.15" customHeight="1" thickBot="1" x14ac:dyDescent="0.75">
      <c r="A6" s="14"/>
      <c r="B6" s="21"/>
      <c r="C6" s="21"/>
      <c r="D6" s="21"/>
      <c r="E6" s="21"/>
      <c r="F6" s="21"/>
      <c r="G6" s="19"/>
      <c r="H6" s="19"/>
      <c r="I6" s="21"/>
      <c r="J6" s="21"/>
      <c r="K6" s="21"/>
      <c r="L6" s="20"/>
      <c r="M6" s="20"/>
      <c r="N6" s="21"/>
      <c r="O6" s="21"/>
      <c r="P6" s="21"/>
      <c r="Q6" s="19"/>
      <c r="R6" s="19"/>
      <c r="S6" s="21"/>
      <c r="T6" s="21"/>
      <c r="U6" s="21"/>
      <c r="V6" s="20"/>
      <c r="W6" s="20"/>
      <c r="X6" s="21"/>
      <c r="Y6" s="21"/>
      <c r="Z6" s="21"/>
      <c r="AA6" s="21"/>
      <c r="AB6" s="19"/>
      <c r="AC6" s="19"/>
      <c r="AD6" s="21"/>
      <c r="AE6" s="21"/>
      <c r="AF6" s="20"/>
      <c r="AG6" s="20"/>
      <c r="AH6" s="21"/>
      <c r="AI6" s="21"/>
      <c r="AJ6" s="21"/>
      <c r="AK6" s="19"/>
      <c r="AL6" s="19"/>
      <c r="AM6" s="21"/>
      <c r="AN6" s="21"/>
      <c r="AO6" s="21"/>
      <c r="AP6" s="20"/>
      <c r="AQ6" s="20"/>
      <c r="AR6" s="21"/>
      <c r="AS6" s="21"/>
      <c r="AT6" s="21"/>
      <c r="AU6" s="19"/>
      <c r="AV6" s="19"/>
      <c r="AW6" s="21"/>
      <c r="AX6" s="21"/>
      <c r="AY6" s="21"/>
      <c r="AZ6" s="20"/>
      <c r="BA6" s="20"/>
      <c r="BB6" s="21"/>
      <c r="BC6" s="21"/>
      <c r="BD6" s="21"/>
      <c r="BE6" s="21"/>
      <c r="BF6" s="19"/>
      <c r="BG6" s="19"/>
      <c r="BH6" s="21"/>
      <c r="BI6" s="21"/>
      <c r="BJ6" s="20"/>
      <c r="BK6" s="20"/>
      <c r="BL6" s="21"/>
      <c r="BM6" s="21"/>
      <c r="BN6" s="21"/>
      <c r="BO6" s="21"/>
      <c r="BP6" s="19"/>
      <c r="BQ6" s="19"/>
      <c r="BR6" s="21"/>
      <c r="BS6" s="21"/>
      <c r="BT6" s="20"/>
      <c r="BU6" s="20"/>
      <c r="BV6" s="21"/>
      <c r="BW6" s="21"/>
      <c r="BX6" s="21"/>
      <c r="BY6" s="19"/>
      <c r="BZ6" s="19"/>
      <c r="CA6" s="21"/>
      <c r="CB6" s="21"/>
      <c r="CC6" s="21"/>
      <c r="CD6" s="20"/>
      <c r="CE6" s="20"/>
      <c r="CF6" s="21"/>
      <c r="CG6" s="21"/>
      <c r="CH6" s="21"/>
      <c r="CI6" s="19"/>
      <c r="CJ6" s="19"/>
      <c r="CK6" s="21"/>
      <c r="CL6" s="21"/>
      <c r="CM6" s="21"/>
      <c r="CN6" s="20"/>
      <c r="CO6" s="20"/>
      <c r="CP6" s="21"/>
      <c r="CQ6" s="21"/>
      <c r="CR6" s="21"/>
      <c r="CS6" s="19"/>
      <c r="CT6" s="19"/>
      <c r="CU6" s="21"/>
      <c r="CV6" s="21"/>
      <c r="CW6" s="21"/>
      <c r="CX6" s="20"/>
      <c r="CY6" s="20"/>
      <c r="CZ6" s="21"/>
      <c r="DA6" s="21"/>
      <c r="DB6" s="21"/>
      <c r="DC6" s="19"/>
      <c r="DD6" s="19"/>
      <c r="DE6" s="21"/>
      <c r="DF6" s="21"/>
      <c r="DG6" s="21"/>
      <c r="DH6" s="20"/>
      <c r="DI6" s="20"/>
      <c r="DJ6" s="21"/>
      <c r="DK6" s="21"/>
      <c r="DL6" s="21"/>
      <c r="DM6" s="19"/>
      <c r="DN6" s="19"/>
      <c r="DO6" s="21"/>
      <c r="DP6" s="21"/>
      <c r="DQ6" s="21"/>
      <c r="DR6" s="20"/>
      <c r="DS6" s="20"/>
      <c r="DT6" s="21"/>
      <c r="DU6" s="21"/>
      <c r="DV6" s="21"/>
      <c r="DW6" s="19"/>
      <c r="DX6" s="19"/>
      <c r="DY6" s="21"/>
      <c r="DZ6" s="21"/>
      <c r="EA6" s="21"/>
      <c r="EB6" s="20"/>
      <c r="EC6" s="20"/>
      <c r="ED6" s="21"/>
      <c r="EE6" s="21"/>
      <c r="EF6" s="21"/>
      <c r="EG6" s="19"/>
      <c r="EH6" s="19"/>
      <c r="EI6" s="21"/>
      <c r="EJ6" s="21"/>
      <c r="EK6" s="21"/>
      <c r="EL6" s="21"/>
      <c r="EM6" s="21"/>
      <c r="EN6" s="21"/>
      <c r="EO6" s="21"/>
      <c r="EP6" s="21"/>
      <c r="EQ6" s="14"/>
      <c r="ES6" t="s">
        <v>227</v>
      </c>
      <c r="ET6" s="11">
        <v>4</v>
      </c>
    </row>
    <row r="7" spans="1:150" ht="36.75" customHeight="1" thickBot="1" x14ac:dyDescent="0.75">
      <c r="A7" s="17"/>
      <c r="B7" s="22">
        <f ca="1">VersaPro!B91</f>
        <v>0</v>
      </c>
      <c r="C7" s="23"/>
      <c r="D7" s="23"/>
      <c r="E7" s="23"/>
      <c r="F7" s="23"/>
      <c r="G7" s="23"/>
      <c r="H7" s="23"/>
      <c r="I7" s="23"/>
      <c r="J7" s="23"/>
      <c r="K7" s="24"/>
      <c r="L7" s="16"/>
      <c r="M7" s="18"/>
      <c r="N7" s="22">
        <f ca="1">VersaPro!C91</f>
        <v>0</v>
      </c>
      <c r="O7" s="23"/>
      <c r="P7" s="23"/>
      <c r="Q7" s="23"/>
      <c r="R7" s="23"/>
      <c r="S7" s="23"/>
      <c r="T7" s="23"/>
      <c r="U7" s="24"/>
      <c r="V7" s="16"/>
      <c r="W7" s="18"/>
      <c r="X7" s="22" t="str">
        <f ca="1">VersaPro!D91</f>
        <v>_1</v>
      </c>
      <c r="Y7" s="23"/>
      <c r="Z7" s="23"/>
      <c r="AA7" s="23"/>
      <c r="AB7" s="23"/>
      <c r="AC7" s="23"/>
      <c r="AD7" s="23"/>
      <c r="AE7" s="24"/>
      <c r="AF7" s="16"/>
      <c r="AG7" s="18"/>
      <c r="AH7" s="22" t="str">
        <f ca="1">VersaPro!E91</f>
        <v>_2</v>
      </c>
      <c r="AI7" s="23"/>
      <c r="AJ7" s="23"/>
      <c r="AK7" s="23"/>
      <c r="AL7" s="23"/>
      <c r="AM7" s="23"/>
      <c r="AN7" s="23"/>
      <c r="AO7" s="24"/>
      <c r="AP7" s="16"/>
      <c r="AQ7" s="18"/>
      <c r="AR7" s="22" t="str">
        <f ca="1">VersaPro!F91</f>
        <v>_3</v>
      </c>
      <c r="AS7" s="23"/>
      <c r="AT7" s="23"/>
      <c r="AU7" s="23"/>
      <c r="AV7" s="23"/>
      <c r="AW7" s="23"/>
      <c r="AX7" s="23"/>
      <c r="AY7" s="24"/>
      <c r="AZ7" s="16"/>
      <c r="BA7" s="18"/>
      <c r="BB7" s="22" t="str">
        <f ca="1">VersaPro!G91</f>
        <v>_4</v>
      </c>
      <c r="BC7" s="23"/>
      <c r="BD7" s="23"/>
      <c r="BE7" s="23"/>
      <c r="BF7" s="23"/>
      <c r="BG7" s="23"/>
      <c r="BH7" s="23"/>
      <c r="BI7" s="24"/>
      <c r="BJ7" s="16"/>
      <c r="BK7" s="18"/>
      <c r="BL7" s="22" t="str">
        <f ca="1">VersaPro!H91</f>
        <v>_5</v>
      </c>
      <c r="BM7" s="23"/>
      <c r="BN7" s="23"/>
      <c r="BO7" s="23"/>
      <c r="BP7" s="23"/>
      <c r="BQ7" s="23"/>
      <c r="BR7" s="23"/>
      <c r="BS7" s="24"/>
      <c r="BT7" s="16"/>
      <c r="BU7" s="18"/>
      <c r="BV7" s="22" t="str">
        <f ca="1">VersaPro!I91</f>
        <v>_6</v>
      </c>
      <c r="BW7" s="23"/>
      <c r="BX7" s="23"/>
      <c r="BY7" s="23"/>
      <c r="BZ7" s="23"/>
      <c r="CA7" s="23"/>
      <c r="CB7" s="23"/>
      <c r="CC7" s="24"/>
      <c r="CD7" s="16"/>
      <c r="CE7" s="18"/>
      <c r="CF7" s="22" t="str">
        <f ca="1">VersaPro!J91</f>
        <v>_7</v>
      </c>
      <c r="CG7" s="23"/>
      <c r="CH7" s="23"/>
      <c r="CI7" s="23"/>
      <c r="CJ7" s="23"/>
      <c r="CK7" s="23"/>
      <c r="CL7" s="23"/>
      <c r="CM7" s="24"/>
      <c r="CN7" s="16"/>
      <c r="CO7" s="18"/>
      <c r="CP7" s="22" t="str">
        <f ca="1">VersaPro!K91</f>
        <v>_8</v>
      </c>
      <c r="CQ7" s="23"/>
      <c r="CR7" s="23"/>
      <c r="CS7" s="23"/>
      <c r="CT7" s="23"/>
      <c r="CU7" s="23"/>
      <c r="CV7" s="23"/>
      <c r="CW7" s="24"/>
      <c r="CX7" s="16"/>
      <c r="CY7" s="18"/>
      <c r="CZ7" s="22" t="str">
        <f ca="1">VersaPro!L91</f>
        <v>_9</v>
      </c>
      <c r="DA7" s="23"/>
      <c r="DB7" s="23"/>
      <c r="DC7" s="23"/>
      <c r="DD7" s="23"/>
      <c r="DE7" s="23"/>
      <c r="DF7" s="23"/>
      <c r="DG7" s="24"/>
      <c r="DH7" s="16"/>
      <c r="DI7" s="18"/>
      <c r="DJ7" s="22" t="str">
        <f ca="1">VersaPro!M91</f>
        <v>_0</v>
      </c>
      <c r="DK7" s="23"/>
      <c r="DL7" s="23"/>
      <c r="DM7" s="23"/>
      <c r="DN7" s="23"/>
      <c r="DO7" s="23"/>
      <c r="DP7" s="23"/>
      <c r="DQ7" s="24"/>
      <c r="DR7" s="16"/>
      <c r="DS7" s="18"/>
      <c r="DT7" s="22" t="str">
        <f ca="1">VersaPro!N91</f>
        <v>F12</v>
      </c>
      <c r="DU7" s="23"/>
      <c r="DV7" s="23"/>
      <c r="DW7" s="23"/>
      <c r="DX7" s="23"/>
      <c r="DY7" s="23"/>
      <c r="DZ7" s="23"/>
      <c r="EA7" s="24"/>
      <c r="EB7" s="16"/>
      <c r="EC7" s="18"/>
      <c r="ED7" s="22">
        <f ca="1">VersaPro!O91</f>
        <v>0</v>
      </c>
      <c r="EE7" s="23"/>
      <c r="EF7" s="23"/>
      <c r="EG7" s="35"/>
      <c r="EH7" s="35"/>
      <c r="EI7" s="35"/>
      <c r="EJ7" s="35"/>
      <c r="EK7" s="35"/>
      <c r="EL7" s="35"/>
      <c r="EM7" s="35"/>
      <c r="EN7" s="35"/>
      <c r="EO7" s="35"/>
      <c r="EP7" s="36"/>
      <c r="EQ7" s="25"/>
      <c r="ES7" t="s">
        <v>114</v>
      </c>
      <c r="ET7" s="11">
        <v>5</v>
      </c>
    </row>
    <row r="8" spans="1:150" ht="7.15" customHeight="1" thickBot="1" x14ac:dyDescent="0.75">
      <c r="A8" s="14"/>
      <c r="B8" s="21"/>
      <c r="C8" s="21"/>
      <c r="D8" s="21"/>
      <c r="E8" s="21"/>
      <c r="F8" s="21"/>
      <c r="G8" s="21"/>
      <c r="H8" s="21"/>
      <c r="I8" s="21"/>
      <c r="J8" s="21"/>
      <c r="K8" s="21"/>
      <c r="L8" s="19"/>
      <c r="M8" s="19"/>
      <c r="N8" s="21"/>
      <c r="O8" s="20"/>
      <c r="P8" s="20"/>
      <c r="Q8" s="21"/>
      <c r="R8" s="21"/>
      <c r="S8" s="21"/>
      <c r="T8" s="21"/>
      <c r="U8" s="21"/>
      <c r="V8" s="19"/>
      <c r="W8" s="19"/>
      <c r="X8" s="21"/>
      <c r="Y8" s="20"/>
      <c r="Z8" s="20"/>
      <c r="AA8" s="21"/>
      <c r="AB8" s="21"/>
      <c r="AC8" s="21"/>
      <c r="AD8" s="21"/>
      <c r="AE8" s="21"/>
      <c r="AF8" s="19"/>
      <c r="AG8" s="19"/>
      <c r="AH8" s="21"/>
      <c r="AI8" s="20"/>
      <c r="AJ8" s="20"/>
      <c r="AK8" s="21"/>
      <c r="AL8" s="21"/>
      <c r="AM8" s="21"/>
      <c r="AN8" s="21"/>
      <c r="AO8" s="21"/>
      <c r="AP8" s="19"/>
      <c r="AQ8" s="19"/>
      <c r="AR8" s="21"/>
      <c r="AS8" s="20"/>
      <c r="AT8" s="20"/>
      <c r="AU8" s="21"/>
      <c r="AV8" s="21"/>
      <c r="AW8" s="21"/>
      <c r="AX8" s="21"/>
      <c r="AY8" s="21"/>
      <c r="AZ8" s="19"/>
      <c r="BA8" s="19"/>
      <c r="BB8" s="21"/>
      <c r="BC8" s="20"/>
      <c r="BD8" s="20"/>
      <c r="BE8" s="21"/>
      <c r="BF8" s="21"/>
      <c r="BG8" s="21"/>
      <c r="BH8" s="21"/>
      <c r="BI8" s="21"/>
      <c r="BJ8" s="19"/>
      <c r="BK8" s="19"/>
      <c r="BL8" s="21"/>
      <c r="BM8" s="20"/>
      <c r="BN8" s="20"/>
      <c r="BO8" s="21"/>
      <c r="BP8" s="21"/>
      <c r="BQ8" s="21"/>
      <c r="BR8" s="21"/>
      <c r="BS8" s="21"/>
      <c r="BT8" s="19"/>
      <c r="BU8" s="19"/>
      <c r="BV8" s="21"/>
      <c r="BW8" s="20"/>
      <c r="BX8" s="20"/>
      <c r="BY8" s="21"/>
      <c r="BZ8" s="21"/>
      <c r="CA8" s="21"/>
      <c r="CB8" s="21"/>
      <c r="CC8" s="21"/>
      <c r="CD8" s="19"/>
      <c r="CE8" s="19"/>
      <c r="CF8" s="21"/>
      <c r="CG8" s="20"/>
      <c r="CH8" s="20"/>
      <c r="CI8" s="21"/>
      <c r="CJ8" s="21"/>
      <c r="CK8" s="21"/>
      <c r="CL8" s="21"/>
      <c r="CM8" s="21"/>
      <c r="CN8" s="19"/>
      <c r="CO8" s="19"/>
      <c r="CP8" s="21"/>
      <c r="CQ8" s="20"/>
      <c r="CR8" s="20"/>
      <c r="CS8" s="21"/>
      <c r="CT8" s="21"/>
      <c r="CU8" s="21"/>
      <c r="CV8" s="21"/>
      <c r="CW8" s="21"/>
      <c r="CX8" s="19"/>
      <c r="CY8" s="19"/>
      <c r="CZ8" s="21"/>
      <c r="DA8" s="20"/>
      <c r="DB8" s="21"/>
      <c r="DC8" s="21"/>
      <c r="DD8" s="21"/>
      <c r="DE8" s="21"/>
      <c r="DF8" s="21"/>
      <c r="DG8" s="21"/>
      <c r="DH8" s="19"/>
      <c r="DI8" s="19"/>
      <c r="DJ8" s="21"/>
      <c r="DK8" s="20"/>
      <c r="DL8" s="20"/>
      <c r="DM8" s="21"/>
      <c r="DN8" s="21"/>
      <c r="DO8" s="21"/>
      <c r="DP8" s="21"/>
      <c r="DQ8" s="21"/>
      <c r="DR8" s="19"/>
      <c r="DS8" s="19"/>
      <c r="DT8" s="21"/>
      <c r="DU8" s="20"/>
      <c r="DV8" s="20"/>
      <c r="DW8" s="21"/>
      <c r="DX8" s="21"/>
      <c r="DY8" s="21"/>
      <c r="DZ8" s="21"/>
      <c r="EA8" s="21"/>
      <c r="EB8" s="19"/>
      <c r="EC8" s="19"/>
      <c r="ED8" s="21"/>
      <c r="EE8" s="20"/>
      <c r="EF8" s="31"/>
      <c r="EG8" s="37"/>
      <c r="EH8" s="38"/>
      <c r="EI8" s="38"/>
      <c r="EJ8" s="38"/>
      <c r="EK8" s="38"/>
      <c r="EL8" s="38"/>
      <c r="EM8" s="38"/>
      <c r="EN8" s="38"/>
      <c r="EO8" s="38"/>
      <c r="EP8" s="39"/>
      <c r="EQ8" s="25"/>
      <c r="ES8" t="s">
        <v>115</v>
      </c>
      <c r="ET8" s="11">
        <v>6</v>
      </c>
    </row>
    <row r="9" spans="1:150" ht="38.65" customHeight="1" thickBot="1" x14ac:dyDescent="0.75">
      <c r="A9" s="17"/>
      <c r="B9" s="22">
        <f ca="1">VersaPro!B92</f>
        <v>0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4"/>
      <c r="O9" s="16"/>
      <c r="P9" s="18"/>
      <c r="Q9" s="22">
        <f ca="1">VersaPro!C92</f>
        <v>0</v>
      </c>
      <c r="R9" s="23"/>
      <c r="S9" s="23"/>
      <c r="T9" s="23"/>
      <c r="U9" s="23"/>
      <c r="V9" s="23"/>
      <c r="W9" s="23"/>
      <c r="X9" s="24"/>
      <c r="Y9" s="16"/>
      <c r="Z9" s="18"/>
      <c r="AA9" s="22" t="str">
        <f ca="1">VersaPro!D92</f>
        <v>F1</v>
      </c>
      <c r="AB9" s="23"/>
      <c r="AC9" s="23"/>
      <c r="AD9" s="23"/>
      <c r="AE9" s="23"/>
      <c r="AF9" s="23"/>
      <c r="AG9" s="23"/>
      <c r="AH9" s="24"/>
      <c r="AI9" s="16"/>
      <c r="AJ9" s="18"/>
      <c r="AK9" s="22" t="str">
        <f ca="1">VersaPro!E92</f>
        <v>F2</v>
      </c>
      <c r="AL9" s="23"/>
      <c r="AM9" s="23"/>
      <c r="AN9" s="23"/>
      <c r="AO9" s="23"/>
      <c r="AP9" s="23"/>
      <c r="AQ9" s="23"/>
      <c r="AR9" s="24"/>
      <c r="AS9" s="16"/>
      <c r="AT9" s="18"/>
      <c r="AU9" s="22" t="str">
        <f ca="1">VersaPro!F92</f>
        <v>F3</v>
      </c>
      <c r="AV9" s="23"/>
      <c r="AW9" s="23"/>
      <c r="AX9" s="23"/>
      <c r="AY9" s="23"/>
      <c r="AZ9" s="23"/>
      <c r="BA9" s="23"/>
      <c r="BB9" s="24"/>
      <c r="BC9" s="16"/>
      <c r="BD9" s="18"/>
      <c r="BE9" s="22" t="str">
        <f ca="1">VersaPro!G92</f>
        <v>F4</v>
      </c>
      <c r="BF9" s="23"/>
      <c r="BG9" s="23"/>
      <c r="BH9" s="23"/>
      <c r="BI9" s="23"/>
      <c r="BJ9" s="23"/>
      <c r="BK9" s="23"/>
      <c r="BL9" s="24"/>
      <c r="BM9" s="16"/>
      <c r="BN9" s="18"/>
      <c r="BO9" s="22" t="str">
        <f ca="1">VersaPro!H92</f>
        <v>F5</v>
      </c>
      <c r="BP9" s="23"/>
      <c r="BQ9" s="23"/>
      <c r="BR9" s="23"/>
      <c r="BS9" s="23"/>
      <c r="BT9" s="23"/>
      <c r="BU9" s="23"/>
      <c r="BV9" s="24"/>
      <c r="BW9" s="16"/>
      <c r="BX9" s="18"/>
      <c r="BY9" s="22" t="str">
        <f ca="1">VersaPro!I92</f>
        <v>F6</v>
      </c>
      <c r="BZ9" s="23"/>
      <c r="CA9" s="23"/>
      <c r="CB9" s="23"/>
      <c r="CC9" s="23"/>
      <c r="CD9" s="23"/>
      <c r="CE9" s="23"/>
      <c r="CF9" s="24"/>
      <c r="CG9" s="16"/>
      <c r="CH9" s="18"/>
      <c r="CI9" s="22" t="str">
        <f ca="1">VersaPro!J92</f>
        <v>F7</v>
      </c>
      <c r="CJ9" s="23"/>
      <c r="CK9" s="23"/>
      <c r="CL9" s="23"/>
      <c r="CM9" s="23"/>
      <c r="CN9" s="23"/>
      <c r="CO9" s="23"/>
      <c r="CP9" s="24"/>
      <c r="CQ9" s="16"/>
      <c r="CR9" s="18"/>
      <c r="CS9" s="22" t="str">
        <f ca="1">VersaPro!K92</f>
        <v>F8</v>
      </c>
      <c r="CT9" s="23"/>
      <c r="CU9" s="23"/>
      <c r="CV9" s="23"/>
      <c r="CW9" s="23"/>
      <c r="CX9" s="23"/>
      <c r="CY9" s="23"/>
      <c r="CZ9" s="24"/>
      <c r="DA9" s="26"/>
      <c r="DB9" s="30"/>
      <c r="DC9" s="22" t="str">
        <f ca="1">VersaPro!L92</f>
        <v>F9</v>
      </c>
      <c r="DD9" s="23"/>
      <c r="DE9" s="23"/>
      <c r="DF9" s="23"/>
      <c r="DG9" s="23"/>
      <c r="DH9" s="23"/>
      <c r="DI9" s="23"/>
      <c r="DJ9" s="24"/>
      <c r="DK9" s="16"/>
      <c r="DL9" s="18"/>
      <c r="DM9" s="22" t="str">
        <f ca="1">VersaPro!M92</f>
        <v>F10</v>
      </c>
      <c r="DN9" s="23"/>
      <c r="DO9" s="23"/>
      <c r="DP9" s="23"/>
      <c r="DQ9" s="23"/>
      <c r="DR9" s="23"/>
      <c r="DS9" s="23"/>
      <c r="DT9" s="24"/>
      <c r="DU9" s="16"/>
      <c r="DV9" s="18"/>
      <c r="DW9" s="22" t="str">
        <f ca="1">VersaPro!N92</f>
        <v>F11</v>
      </c>
      <c r="DX9" s="23"/>
      <c r="DY9" s="23"/>
      <c r="DZ9" s="23"/>
      <c r="EA9" s="23"/>
      <c r="EB9" s="23"/>
      <c r="EC9" s="23"/>
      <c r="ED9" s="24"/>
      <c r="EE9" s="16"/>
      <c r="EF9" s="18"/>
      <c r="EG9" s="32"/>
      <c r="EH9" s="33"/>
      <c r="EI9" s="33"/>
      <c r="EJ9" s="33"/>
      <c r="EK9" s="33"/>
      <c r="EL9" s="33"/>
      <c r="EM9" s="33"/>
      <c r="EN9" s="33"/>
      <c r="EO9" s="33"/>
      <c r="EP9" s="34"/>
      <c r="EQ9" s="25"/>
      <c r="ES9" t="s">
        <v>116</v>
      </c>
      <c r="ET9" s="11">
        <v>7</v>
      </c>
    </row>
    <row r="10" spans="1:150" ht="7.15" customHeight="1" thickBot="1" x14ac:dyDescent="0.75">
      <c r="A10" s="14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19"/>
      <c r="P10" s="19"/>
      <c r="Q10" s="21"/>
      <c r="R10" s="21"/>
      <c r="S10" s="21"/>
      <c r="T10" s="20"/>
      <c r="U10" s="20"/>
      <c r="V10" s="21"/>
      <c r="W10" s="21"/>
      <c r="X10" s="21"/>
      <c r="Y10" s="19"/>
      <c r="Z10" s="19"/>
      <c r="AA10" s="21"/>
      <c r="AB10" s="21"/>
      <c r="AC10" s="21"/>
      <c r="AD10" s="20"/>
      <c r="AE10" s="20"/>
      <c r="AF10" s="21"/>
      <c r="AG10" s="21"/>
      <c r="AH10" s="21"/>
      <c r="AI10" s="19"/>
      <c r="AJ10" s="19"/>
      <c r="AK10" s="21"/>
      <c r="AL10" s="21"/>
      <c r="AM10" s="21"/>
      <c r="AN10" s="20"/>
      <c r="AO10" s="20"/>
      <c r="AP10" s="21"/>
      <c r="AQ10" s="21"/>
      <c r="AR10" s="21"/>
      <c r="AS10" s="19"/>
      <c r="AT10" s="19"/>
      <c r="AU10" s="21"/>
      <c r="AV10" s="21"/>
      <c r="AW10" s="21"/>
      <c r="AX10" s="20"/>
      <c r="AY10" s="20"/>
      <c r="AZ10" s="21"/>
      <c r="BA10" s="21"/>
      <c r="BB10" s="21"/>
      <c r="BC10" s="19"/>
      <c r="BD10" s="19"/>
      <c r="BE10" s="21"/>
      <c r="BF10" s="21"/>
      <c r="BG10" s="21"/>
      <c r="BH10" s="20"/>
      <c r="BI10" s="20"/>
      <c r="BJ10" s="21"/>
      <c r="BK10" s="21"/>
      <c r="BL10" s="21"/>
      <c r="BM10" s="19"/>
      <c r="BN10" s="19"/>
      <c r="BO10" s="21"/>
      <c r="BP10" s="21"/>
      <c r="BQ10" s="21"/>
      <c r="BR10" s="20"/>
      <c r="BS10" s="20"/>
      <c r="BT10" s="21"/>
      <c r="BU10" s="21"/>
      <c r="BV10" s="21"/>
      <c r="BW10" s="19"/>
      <c r="BX10" s="19"/>
      <c r="BY10" s="21"/>
      <c r="BZ10" s="21"/>
      <c r="CA10" s="21"/>
      <c r="CB10" s="20"/>
      <c r="CC10" s="20"/>
      <c r="CD10" s="21"/>
      <c r="CE10" s="21"/>
      <c r="CF10" s="21"/>
      <c r="CG10" s="19"/>
      <c r="CH10" s="19"/>
      <c r="CI10" s="21"/>
      <c r="CJ10" s="21"/>
      <c r="CK10" s="21"/>
      <c r="CL10" s="20"/>
      <c r="CM10" s="20"/>
      <c r="CN10" s="21"/>
      <c r="CO10" s="21"/>
      <c r="CP10" s="21"/>
      <c r="CQ10" s="19"/>
      <c r="CR10" s="19"/>
      <c r="CS10" s="21"/>
      <c r="CT10" s="21"/>
      <c r="CU10" s="21"/>
      <c r="CV10" s="20"/>
      <c r="CW10" s="20"/>
      <c r="CX10" s="21"/>
      <c r="CY10" s="21"/>
      <c r="CZ10" s="21"/>
      <c r="DA10" s="19"/>
      <c r="DB10" s="21"/>
      <c r="DC10" s="21"/>
      <c r="DD10" s="21"/>
      <c r="DE10" s="21"/>
      <c r="DF10" s="20"/>
      <c r="DG10" s="20"/>
      <c r="DH10" s="21"/>
      <c r="DI10" s="21"/>
      <c r="DJ10" s="21"/>
      <c r="DK10" s="19"/>
      <c r="DL10" s="19"/>
      <c r="DM10" s="21"/>
      <c r="DN10" s="21"/>
      <c r="DO10" s="21"/>
      <c r="DP10" s="20"/>
      <c r="DQ10" s="21"/>
      <c r="DR10" s="21"/>
      <c r="DS10" s="21"/>
      <c r="DT10" s="21"/>
      <c r="DU10" s="19"/>
      <c r="DV10" s="19"/>
      <c r="DW10" s="21"/>
      <c r="DX10" s="21"/>
      <c r="DY10" s="21"/>
      <c r="DZ10" s="20"/>
      <c r="EA10" s="20"/>
      <c r="EB10" s="21"/>
      <c r="EC10" s="21"/>
      <c r="ED10" s="21"/>
      <c r="EE10" s="19"/>
      <c r="EF10" s="19"/>
      <c r="EG10" s="20"/>
      <c r="EH10" s="20"/>
      <c r="EI10" s="21"/>
      <c r="EJ10" s="21"/>
      <c r="EK10" s="21"/>
      <c r="EL10" s="21"/>
      <c r="EM10" s="21"/>
      <c r="EN10" s="21"/>
      <c r="EO10" s="21"/>
      <c r="EP10" s="21"/>
      <c r="EQ10" s="14"/>
      <c r="ES10" t="s">
        <v>108</v>
      </c>
      <c r="ET10" s="11">
        <v>8</v>
      </c>
    </row>
    <row r="11" spans="1:150" ht="36" customHeight="1" thickBot="1" x14ac:dyDescent="0.75">
      <c r="A11" s="17"/>
      <c r="B11" s="22">
        <f ca="1">VersaPro!B93</f>
        <v>0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4"/>
      <c r="T11" s="16"/>
      <c r="U11" s="18"/>
      <c r="V11" s="22">
        <f ca="1">VersaPro!D93</f>
        <v>0</v>
      </c>
      <c r="W11" s="23"/>
      <c r="X11" s="23"/>
      <c r="Y11" s="23"/>
      <c r="Z11" s="23"/>
      <c r="AA11" s="23"/>
      <c r="AB11" s="23"/>
      <c r="AC11" s="24"/>
      <c r="AD11" s="16"/>
      <c r="AE11" s="18"/>
      <c r="AF11" s="22">
        <f ca="1">VersaPro!E93</f>
        <v>0</v>
      </c>
      <c r="AG11" s="23"/>
      <c r="AH11" s="23"/>
      <c r="AI11" s="23"/>
      <c r="AJ11" s="23"/>
      <c r="AK11" s="23"/>
      <c r="AL11" s="23"/>
      <c r="AM11" s="24"/>
      <c r="AN11" s="16"/>
      <c r="AO11" s="18"/>
      <c r="AP11" s="22">
        <f ca="1">VersaPro!F93</f>
        <v>0</v>
      </c>
      <c r="AQ11" s="23"/>
      <c r="AR11" s="23"/>
      <c r="AS11" s="23"/>
      <c r="AT11" s="23"/>
      <c r="AU11" s="23"/>
      <c r="AV11" s="23"/>
      <c r="AW11" s="24"/>
      <c r="AX11" s="16"/>
      <c r="AY11" s="18"/>
      <c r="AZ11" s="22">
        <f ca="1">VersaPro!G93</f>
        <v>0</v>
      </c>
      <c r="BA11" s="23"/>
      <c r="BB11" s="23"/>
      <c r="BC11" s="23"/>
      <c r="BD11" s="23"/>
      <c r="BE11" s="23"/>
      <c r="BF11" s="23"/>
      <c r="BG11" s="24"/>
      <c r="BH11" s="16"/>
      <c r="BI11" s="18"/>
      <c r="BJ11" s="22">
        <f ca="1">VersaPro!H93</f>
        <v>0</v>
      </c>
      <c r="BK11" s="23"/>
      <c r="BL11" s="23"/>
      <c r="BM11" s="23"/>
      <c r="BN11" s="23"/>
      <c r="BO11" s="23"/>
      <c r="BP11" s="23"/>
      <c r="BQ11" s="24"/>
      <c r="BR11" s="16"/>
      <c r="BS11" s="18"/>
      <c r="BT11" s="22">
        <f ca="1">VersaPro!I93</f>
        <v>0</v>
      </c>
      <c r="BU11" s="23"/>
      <c r="BV11" s="23"/>
      <c r="BW11" s="23"/>
      <c r="BX11" s="23"/>
      <c r="BY11" s="23"/>
      <c r="BZ11" s="23"/>
      <c r="CA11" s="24"/>
      <c r="CB11" s="16"/>
      <c r="CC11" s="18"/>
      <c r="CD11" s="22">
        <f ca="1">VersaPro!J93</f>
        <v>0</v>
      </c>
      <c r="CE11" s="23"/>
      <c r="CF11" s="23"/>
      <c r="CG11" s="23"/>
      <c r="CH11" s="23"/>
      <c r="CI11" s="23"/>
      <c r="CJ11" s="23"/>
      <c r="CK11" s="24"/>
      <c r="CL11" s="16"/>
      <c r="CM11" s="18"/>
      <c r="CN11" s="22">
        <f ca="1">VersaPro!K93</f>
        <v>0</v>
      </c>
      <c r="CO11" s="23"/>
      <c r="CP11" s="23"/>
      <c r="CQ11" s="23"/>
      <c r="CR11" s="23"/>
      <c r="CS11" s="23"/>
      <c r="CT11" s="23"/>
      <c r="CU11" s="24"/>
      <c r="CV11" s="16"/>
      <c r="CW11" s="18"/>
      <c r="CX11" s="22">
        <f ca="1">VersaPro!L93</f>
        <v>0</v>
      </c>
      <c r="CY11" s="23"/>
      <c r="CZ11" s="23"/>
      <c r="DA11" s="23"/>
      <c r="DB11" s="23"/>
      <c r="DC11" s="23"/>
      <c r="DD11" s="23"/>
      <c r="DE11" s="24"/>
      <c r="DF11" s="16"/>
      <c r="DG11" s="18"/>
      <c r="DH11" s="22">
        <f ca="1">VersaPro!M93</f>
        <v>0</v>
      </c>
      <c r="DI11" s="23"/>
      <c r="DJ11" s="23"/>
      <c r="DK11" s="23"/>
      <c r="DL11" s="23"/>
      <c r="DM11" s="23"/>
      <c r="DN11" s="23"/>
      <c r="DO11" s="24"/>
      <c r="DP11" s="26"/>
      <c r="DQ11" s="28"/>
      <c r="DR11" s="29">
        <f ca="1">VersaPro!N93</f>
        <v>0</v>
      </c>
      <c r="DS11" s="23"/>
      <c r="DT11" s="23"/>
      <c r="DU11" s="23"/>
      <c r="DV11" s="23"/>
      <c r="DW11" s="23"/>
      <c r="DX11" s="23"/>
      <c r="DY11" s="24"/>
      <c r="DZ11" s="16"/>
      <c r="EA11" s="18"/>
      <c r="EB11" s="22">
        <f ca="1">VersaPro!O93</f>
        <v>0</v>
      </c>
      <c r="EC11" s="23"/>
      <c r="ED11" s="23"/>
      <c r="EE11" s="23"/>
      <c r="EF11" s="24"/>
      <c r="EG11" s="16"/>
      <c r="EH11" s="18"/>
      <c r="EI11" s="22">
        <f ca="1">VersaPro!P93</f>
        <v>0</v>
      </c>
      <c r="EJ11" s="23"/>
      <c r="EK11" s="23"/>
      <c r="EL11" s="23"/>
      <c r="EM11" s="23"/>
      <c r="EN11" s="23"/>
      <c r="EO11" s="23"/>
      <c r="EP11" s="24"/>
      <c r="EQ11" s="25"/>
      <c r="ES11" t="s">
        <v>109</v>
      </c>
      <c r="ET11" s="11">
        <v>9</v>
      </c>
    </row>
    <row r="12" spans="1:150" ht="7.15" customHeight="1" thickBot="1" x14ac:dyDescent="0.75">
      <c r="A12" s="14"/>
      <c r="B12" s="21"/>
      <c r="C12" s="21"/>
      <c r="D12" s="21"/>
      <c r="E12" s="21"/>
      <c r="F12" s="21"/>
      <c r="G12" s="21"/>
      <c r="H12" s="21"/>
      <c r="I12" s="20"/>
      <c r="J12" s="20"/>
      <c r="K12" s="21"/>
      <c r="L12" s="21"/>
      <c r="M12" s="21"/>
      <c r="N12" s="21"/>
      <c r="O12" s="21"/>
      <c r="P12" s="21"/>
      <c r="Q12" s="21"/>
      <c r="R12" s="21"/>
      <c r="S12" s="20"/>
      <c r="T12" s="15"/>
      <c r="U12" s="19"/>
      <c r="V12" s="21"/>
      <c r="W12" s="21"/>
      <c r="X12" s="21"/>
      <c r="Y12" s="21"/>
      <c r="Z12" s="21"/>
      <c r="AA12" s="21"/>
      <c r="AB12" s="21"/>
      <c r="AC12" s="20"/>
      <c r="AD12" s="15"/>
      <c r="AE12" s="19"/>
      <c r="AF12" s="21"/>
      <c r="AG12" s="21"/>
      <c r="AH12" s="21"/>
      <c r="AI12" s="21"/>
      <c r="AJ12" s="21"/>
      <c r="AK12" s="21"/>
      <c r="AL12" s="21"/>
      <c r="AM12" s="21"/>
      <c r="AN12" s="15"/>
      <c r="AO12" s="15"/>
      <c r="AP12" s="21"/>
      <c r="AQ12" s="21"/>
      <c r="AR12" s="21"/>
      <c r="AS12" s="21"/>
      <c r="AT12" s="21"/>
      <c r="AU12" s="21"/>
      <c r="AV12" s="20"/>
      <c r="AW12" s="20"/>
      <c r="AX12" s="19"/>
      <c r="AY12" s="19"/>
      <c r="AZ12" s="21"/>
      <c r="BA12" s="21"/>
      <c r="BB12" s="21"/>
      <c r="BC12" s="21"/>
      <c r="BD12" s="21"/>
      <c r="BE12" s="21"/>
      <c r="BF12" s="21"/>
      <c r="BG12" s="21"/>
      <c r="BH12" s="19"/>
      <c r="BI12" s="19"/>
      <c r="BJ12" s="21"/>
      <c r="BK12" s="21"/>
      <c r="BL12" s="21"/>
      <c r="BM12" s="21"/>
      <c r="BN12" s="21"/>
      <c r="BO12" s="21"/>
      <c r="BP12" s="21"/>
      <c r="BQ12" s="21"/>
      <c r="BR12" s="19"/>
      <c r="BS12" s="19"/>
      <c r="BT12" s="21"/>
      <c r="BU12" s="21"/>
      <c r="BV12" s="21"/>
      <c r="BW12" s="21"/>
      <c r="BX12" s="21"/>
      <c r="BY12" s="21"/>
      <c r="BZ12" s="21"/>
      <c r="CA12" s="21"/>
      <c r="CB12" s="19"/>
      <c r="CC12" s="19"/>
      <c r="CD12" s="21"/>
      <c r="CE12" s="21"/>
      <c r="CF12" s="21"/>
      <c r="CG12" s="21"/>
      <c r="CH12" s="21"/>
      <c r="CI12" s="20"/>
      <c r="CJ12" s="20"/>
      <c r="CK12" s="21"/>
      <c r="CL12" s="19"/>
      <c r="CM12" s="19"/>
      <c r="CN12" s="21"/>
      <c r="CO12" s="21"/>
      <c r="CP12" s="21"/>
      <c r="CQ12" s="20"/>
      <c r="CR12" s="20"/>
      <c r="CS12" s="21"/>
      <c r="CT12" s="21"/>
      <c r="CU12" s="21"/>
      <c r="CV12" s="19"/>
      <c r="CW12" s="19"/>
      <c r="CX12" s="20"/>
      <c r="CY12" s="20"/>
      <c r="CZ12" s="21"/>
      <c r="DA12" s="21"/>
      <c r="DB12" s="21"/>
      <c r="DC12" s="21"/>
      <c r="DD12" s="21"/>
      <c r="DE12" s="21"/>
      <c r="DF12" s="15"/>
      <c r="DG12" s="15"/>
      <c r="DH12" s="21"/>
      <c r="DI12" s="21"/>
      <c r="DJ12" s="21"/>
      <c r="DK12" s="21"/>
      <c r="DL12" s="21"/>
      <c r="DM12" s="21"/>
      <c r="DN12" s="21"/>
      <c r="DO12" s="21"/>
      <c r="DP12" s="15"/>
      <c r="DQ12" s="20"/>
      <c r="DR12" s="21"/>
      <c r="DS12" s="21"/>
      <c r="DT12" s="21"/>
      <c r="DU12" s="21"/>
      <c r="DV12" s="21"/>
      <c r="DW12" s="21"/>
      <c r="DX12" s="21"/>
      <c r="DY12" s="21"/>
      <c r="DZ12" s="15"/>
      <c r="EA12" s="15"/>
      <c r="EB12" s="21"/>
      <c r="EC12" s="21"/>
      <c r="ED12" s="21"/>
      <c r="EE12" s="21"/>
      <c r="EF12" s="21"/>
      <c r="EG12" s="15"/>
      <c r="EH12" s="15"/>
      <c r="EI12" s="21"/>
      <c r="EJ12" s="21"/>
      <c r="EK12" s="21"/>
      <c r="EL12" s="21"/>
      <c r="EM12" s="21"/>
      <c r="EN12" s="21"/>
      <c r="EO12" s="21"/>
      <c r="EP12" s="21"/>
      <c r="EQ12" s="14"/>
      <c r="ES12" t="s">
        <v>110</v>
      </c>
      <c r="ET12" s="11">
        <v>10</v>
      </c>
    </row>
    <row r="13" spans="1:150" ht="32.25" customHeight="1" thickBot="1" x14ac:dyDescent="0.75">
      <c r="A13" s="17"/>
      <c r="B13" s="22">
        <f ca="1">VersaPro!B94</f>
        <v>0</v>
      </c>
      <c r="C13" s="23"/>
      <c r="D13" s="23"/>
      <c r="E13" s="23"/>
      <c r="F13" s="23"/>
      <c r="G13" s="23"/>
      <c r="H13" s="24"/>
      <c r="I13" s="16"/>
      <c r="J13" s="18"/>
      <c r="K13" s="22">
        <f ca="1">VersaPro!C94</f>
        <v>0</v>
      </c>
      <c r="L13" s="23"/>
      <c r="M13" s="23"/>
      <c r="N13" s="23"/>
      <c r="O13" s="23"/>
      <c r="P13" s="23"/>
      <c r="Q13" s="23"/>
      <c r="R13" s="24"/>
      <c r="S13" s="16"/>
      <c r="T13" s="18"/>
      <c r="U13" s="22">
        <f ca="1">VersaPro!D94</f>
        <v>0</v>
      </c>
      <c r="V13" s="23"/>
      <c r="W13" s="23"/>
      <c r="X13" s="23"/>
      <c r="Y13" s="23"/>
      <c r="Z13" s="23"/>
      <c r="AA13" s="23"/>
      <c r="AB13" s="24"/>
      <c r="AC13" s="16"/>
      <c r="AD13" s="18"/>
      <c r="AE13" s="22">
        <f ca="1">VersaPro!E94</f>
        <v>0</v>
      </c>
      <c r="AF13" s="23"/>
      <c r="AG13" s="23"/>
      <c r="AH13" s="23"/>
      <c r="AI13" s="23"/>
      <c r="AJ13" s="23"/>
      <c r="AK13" s="23"/>
      <c r="AL13" s="23"/>
      <c r="AM13" s="24"/>
      <c r="AN13" s="16"/>
      <c r="AO13" s="18"/>
      <c r="AP13" s="22">
        <f ca="1">VersaPro!F94</f>
        <v>0</v>
      </c>
      <c r="AQ13" s="23"/>
      <c r="AR13" s="23"/>
      <c r="AS13" s="23"/>
      <c r="AT13" s="23"/>
      <c r="AU13" s="24"/>
      <c r="AV13" s="16"/>
      <c r="AW13" s="18"/>
      <c r="AX13" s="22">
        <f ca="1">VersaPro!G94</f>
        <v>0</v>
      </c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4"/>
      <c r="CI13" s="16"/>
      <c r="CJ13" s="18"/>
      <c r="CK13" s="22">
        <f ca="1">VersaPro!J94</f>
        <v>0</v>
      </c>
      <c r="CL13" s="23"/>
      <c r="CM13" s="23"/>
      <c r="CN13" s="23"/>
      <c r="CO13" s="23"/>
      <c r="CP13" s="24"/>
      <c r="CQ13" s="16"/>
      <c r="CR13" s="18"/>
      <c r="CS13" s="22">
        <f ca="1">VersaPro!K94</f>
        <v>0</v>
      </c>
      <c r="CT13" s="23"/>
      <c r="CU13" s="23"/>
      <c r="CV13" s="23"/>
      <c r="CW13" s="24"/>
      <c r="CX13" s="16"/>
      <c r="CY13" s="18"/>
      <c r="CZ13" s="22">
        <f ca="1">VersaPro!L94</f>
        <v>0</v>
      </c>
      <c r="DA13" s="23"/>
      <c r="DB13" s="23"/>
      <c r="DC13" s="23"/>
      <c r="DD13" s="23"/>
      <c r="DE13" s="24"/>
      <c r="DF13" s="16"/>
      <c r="DG13" s="18"/>
      <c r="DH13" s="22">
        <f ca="1">VersaPro!M94</f>
        <v>0</v>
      </c>
      <c r="DI13" s="23"/>
      <c r="DJ13" s="23"/>
      <c r="DK13" s="23"/>
      <c r="DL13" s="23"/>
      <c r="DM13" s="23"/>
      <c r="DN13" s="23"/>
      <c r="DO13" s="24"/>
      <c r="DP13" s="16"/>
      <c r="DQ13" s="18"/>
      <c r="DR13" s="22">
        <f ca="1">VersaPro!N94</f>
        <v>0</v>
      </c>
      <c r="DS13" s="23"/>
      <c r="DT13" s="23"/>
      <c r="DU13" s="23"/>
      <c r="DV13" s="23"/>
      <c r="DW13" s="23"/>
      <c r="DX13" s="23"/>
      <c r="DY13" s="24"/>
      <c r="DZ13" s="16"/>
      <c r="EA13" s="18"/>
      <c r="EB13" s="22">
        <f ca="1">VersaPro!O94</f>
        <v>0</v>
      </c>
      <c r="EC13" s="23"/>
      <c r="ED13" s="23"/>
      <c r="EE13" s="23"/>
      <c r="EF13" s="24"/>
      <c r="EG13" s="16"/>
      <c r="EH13" s="18"/>
      <c r="EI13" s="22">
        <f ca="1">VersaPro!P94</f>
        <v>0</v>
      </c>
      <c r="EJ13" s="23"/>
      <c r="EK13" s="23"/>
      <c r="EL13" s="23"/>
      <c r="EM13" s="23"/>
      <c r="EN13" s="23"/>
      <c r="EO13" s="23"/>
      <c r="EP13" s="24"/>
      <c r="EQ13" s="25"/>
      <c r="ES13" t="s">
        <v>111</v>
      </c>
      <c r="ET13" s="11">
        <v>11</v>
      </c>
    </row>
    <row r="14" spans="1:150" ht="8.25" customHeight="1" x14ac:dyDescent="0.7">
      <c r="A14" s="14"/>
      <c r="B14" s="27"/>
      <c r="C14" s="27"/>
      <c r="D14" s="27"/>
      <c r="E14" s="27"/>
      <c r="F14" s="27"/>
      <c r="G14" s="27"/>
      <c r="H14" s="27"/>
      <c r="I14" s="14"/>
      <c r="J14" s="14"/>
      <c r="K14" s="27"/>
      <c r="L14" s="27"/>
      <c r="M14" s="27"/>
      <c r="N14" s="27"/>
      <c r="O14" s="27"/>
      <c r="P14" s="27"/>
      <c r="Q14" s="27"/>
      <c r="R14" s="27"/>
      <c r="S14" s="14"/>
      <c r="T14" s="14"/>
      <c r="U14" s="27"/>
      <c r="V14" s="27"/>
      <c r="W14" s="27"/>
      <c r="X14" s="27"/>
      <c r="Y14" s="27"/>
      <c r="Z14" s="27"/>
      <c r="AA14" s="27"/>
      <c r="AB14" s="27"/>
      <c r="AC14" s="14"/>
      <c r="AD14" s="14"/>
      <c r="AE14" s="27"/>
      <c r="AF14" s="27"/>
      <c r="AG14" s="27"/>
      <c r="AH14" s="27"/>
      <c r="AI14" s="27"/>
      <c r="AJ14" s="27"/>
      <c r="AK14" s="27"/>
      <c r="AL14" s="27"/>
      <c r="AM14" s="27"/>
      <c r="AN14" s="14"/>
      <c r="AO14" s="14"/>
      <c r="AP14" s="27"/>
      <c r="AQ14" s="27"/>
      <c r="AR14" s="27"/>
      <c r="AS14" s="27"/>
      <c r="AT14" s="27"/>
      <c r="AU14" s="27"/>
      <c r="AV14" s="14"/>
      <c r="AW14" s="14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14"/>
      <c r="CJ14" s="14"/>
      <c r="CK14" s="27"/>
      <c r="CL14" s="27"/>
      <c r="CM14" s="27"/>
      <c r="CN14" s="27"/>
      <c r="CO14" s="27"/>
      <c r="CP14" s="27"/>
      <c r="CQ14" s="14"/>
      <c r="CR14" s="14"/>
      <c r="CS14" s="27"/>
      <c r="CT14" s="27"/>
      <c r="CU14" s="27"/>
      <c r="CV14" s="27"/>
      <c r="CW14" s="27"/>
      <c r="CX14" s="14"/>
      <c r="CY14" s="14"/>
      <c r="CZ14" s="27"/>
      <c r="DA14" s="27"/>
      <c r="DB14" s="27"/>
      <c r="DC14" s="27"/>
      <c r="DD14" s="27"/>
      <c r="DE14" s="27"/>
      <c r="DF14" s="14"/>
      <c r="DG14" s="14"/>
      <c r="DH14" s="27"/>
      <c r="DI14" s="27"/>
      <c r="DJ14" s="27"/>
      <c r="DK14" s="27"/>
      <c r="DL14" s="27"/>
      <c r="DM14" s="27"/>
      <c r="DN14" s="27"/>
      <c r="DO14" s="27"/>
      <c r="DP14" s="14"/>
      <c r="DQ14" s="14"/>
      <c r="DR14" s="27"/>
      <c r="DS14" s="27"/>
      <c r="DT14" s="27"/>
      <c r="DU14" s="27"/>
      <c r="DV14" s="27"/>
      <c r="DW14" s="27"/>
      <c r="DX14" s="27"/>
      <c r="DY14" s="27"/>
      <c r="DZ14" s="14"/>
      <c r="EA14" s="14"/>
      <c r="EB14" s="27"/>
      <c r="EC14" s="27"/>
      <c r="ED14" s="27"/>
      <c r="EE14" s="27"/>
      <c r="EF14" s="27"/>
      <c r="EG14" s="14"/>
      <c r="EH14" s="14"/>
      <c r="EI14" s="27"/>
      <c r="EJ14" s="27"/>
      <c r="EK14" s="27"/>
      <c r="EL14" s="27"/>
      <c r="EM14" s="27"/>
      <c r="EN14" s="27"/>
      <c r="EO14" s="27"/>
      <c r="EP14" s="27"/>
      <c r="EQ14" s="14"/>
      <c r="ES14" t="s">
        <v>112</v>
      </c>
      <c r="ET14" s="11">
        <v>12</v>
      </c>
    </row>
    <row r="15" spans="1:150" x14ac:dyDescent="0.7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S15" t="s">
        <v>117</v>
      </c>
      <c r="ET15" s="11">
        <v>13</v>
      </c>
    </row>
    <row r="16" spans="1:150" x14ac:dyDescent="0.7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S16" t="s">
        <v>113</v>
      </c>
      <c r="ET16" s="11">
        <v>14</v>
      </c>
    </row>
    <row r="17" spans="1:147" x14ac:dyDescent="0.7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</row>
    <row r="18" spans="1:147" x14ac:dyDescent="0.7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</row>
    <row r="19" spans="1:147" x14ac:dyDescent="0.7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</row>
    <row r="20" spans="1:147" x14ac:dyDescent="0.7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</row>
    <row r="21" spans="1:147" x14ac:dyDescent="0.7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</row>
    <row r="22" spans="1:147" x14ac:dyDescent="0.7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</row>
    <row r="23" spans="1:147" x14ac:dyDescent="0.7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</row>
    <row r="24" spans="1:147" x14ac:dyDescent="0.7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</row>
    <row r="25" spans="1:147" x14ac:dyDescent="0.7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</row>
    <row r="26" spans="1:147" x14ac:dyDescent="0.7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</row>
    <row r="27" spans="1:147" x14ac:dyDescent="0.7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</row>
  </sheetData>
  <mergeCells count="88">
    <mergeCell ref="B1:K1"/>
    <mergeCell ref="DH13:DO13"/>
    <mergeCell ref="DR13:DY13"/>
    <mergeCell ref="EB13:EF13"/>
    <mergeCell ref="EI13:EP13"/>
    <mergeCell ref="DQ3:DX3"/>
    <mergeCell ref="EI11:EP11"/>
    <mergeCell ref="B13:H13"/>
    <mergeCell ref="K13:R13"/>
    <mergeCell ref="U13:AB13"/>
    <mergeCell ref="AE13:AM13"/>
    <mergeCell ref="AP13:AU13"/>
    <mergeCell ref="AX13:CH13"/>
    <mergeCell ref="CK13:CP13"/>
    <mergeCell ref="CS13:CW13"/>
    <mergeCell ref="CZ13:DE13"/>
    <mergeCell ref="CN11:CU11"/>
    <mergeCell ref="CX11:DE11"/>
    <mergeCell ref="DH11:DO11"/>
    <mergeCell ref="DR11:DY11"/>
    <mergeCell ref="EB11:EF11"/>
    <mergeCell ref="EG9:EP9"/>
    <mergeCell ref="EG8:EP8"/>
    <mergeCell ref="B11:S11"/>
    <mergeCell ref="V11:AC11"/>
    <mergeCell ref="AF11:AM11"/>
    <mergeCell ref="AP11:AW11"/>
    <mergeCell ref="AZ11:BG11"/>
    <mergeCell ref="BJ11:BQ11"/>
    <mergeCell ref="BT11:CA11"/>
    <mergeCell ref="CD11:CK11"/>
    <mergeCell ref="BY9:CF9"/>
    <mergeCell ref="CI9:CP9"/>
    <mergeCell ref="CS9:CZ9"/>
    <mergeCell ref="DC9:DJ9"/>
    <mergeCell ref="DM9:DT9"/>
    <mergeCell ref="DW9:ED9"/>
    <mergeCell ref="ED7:EP7"/>
    <mergeCell ref="B9:N9"/>
    <mergeCell ref="Q9:X9"/>
    <mergeCell ref="AA9:AH9"/>
    <mergeCell ref="AK9:AR9"/>
    <mergeCell ref="AU9:BB9"/>
    <mergeCell ref="BE9:BL9"/>
    <mergeCell ref="BO9:BV9"/>
    <mergeCell ref="BV7:CC7"/>
    <mergeCell ref="CF7:CM7"/>
    <mergeCell ref="CP7:CW7"/>
    <mergeCell ref="CZ7:DG7"/>
    <mergeCell ref="DJ7:DQ7"/>
    <mergeCell ref="DT7:EA7"/>
    <mergeCell ref="DO5:DV5"/>
    <mergeCell ref="DY5:EF5"/>
    <mergeCell ref="EI5:EP5"/>
    <mergeCell ref="B7:K7"/>
    <mergeCell ref="N7:U7"/>
    <mergeCell ref="X7:AE7"/>
    <mergeCell ref="AH7:AO7"/>
    <mergeCell ref="AR7:AY7"/>
    <mergeCell ref="BB7:BI7"/>
    <mergeCell ref="BL7:BS7"/>
    <mergeCell ref="BH5:BO5"/>
    <mergeCell ref="BR5:BX5"/>
    <mergeCell ref="CA5:CH5"/>
    <mergeCell ref="CK5:CR5"/>
    <mergeCell ref="CU5:DB5"/>
    <mergeCell ref="DE5:DL5"/>
    <mergeCell ref="B5:F5"/>
    <mergeCell ref="I5:P5"/>
    <mergeCell ref="S5:AA5"/>
    <mergeCell ref="AD5:AJ5"/>
    <mergeCell ref="AM5:AT5"/>
    <mergeCell ref="AW5:BE5"/>
    <mergeCell ref="CQ3:CV3"/>
    <mergeCell ref="CY3:DE3"/>
    <mergeCell ref="DH3:DN3"/>
    <mergeCell ref="EA3:EG3"/>
    <mergeCell ref="EJ3:EP3"/>
    <mergeCell ref="AM3:AS3"/>
    <mergeCell ref="AV3:BC3"/>
    <mergeCell ref="BF3:BL3"/>
    <mergeCell ref="BO3:BU3"/>
    <mergeCell ref="BX3:CD3"/>
    <mergeCell ref="CG3:CN3"/>
    <mergeCell ref="B3:H3"/>
    <mergeCell ref="K3:R3"/>
    <mergeCell ref="U3:AA3"/>
    <mergeCell ref="AD3:AJ3"/>
  </mergeCells>
  <phoneticPr fontId="2"/>
  <conditionalFormatting sqref="A2:EQ14">
    <cfRule type="cellIs" dxfId="0" priority="1" operator="equal">
      <formula>0</formula>
    </cfRule>
  </conditionalFormatting>
  <dataValidations count="1">
    <dataValidation type="list" allowBlank="1" showInputMessage="1" showErrorMessage="1" sqref="B1">
      <formula1>ES3:ES16</formula1>
    </dataValidation>
  </dataValidations>
  <pageMargins left="0.7" right="0.7" top="0.75" bottom="0.75" header="0.3" footer="0.3"/>
  <pageSetup paperSize="9" scale="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3:Q94"/>
  <sheetViews>
    <sheetView zoomScale="85" zoomScaleNormal="85" workbookViewId="0">
      <selection activeCell="L98" sqref="L98"/>
    </sheetView>
  </sheetViews>
  <sheetFormatPr defaultRowHeight="17.649999999999999" outlineLevelRow="3" x14ac:dyDescent="0.7"/>
  <cols>
    <col min="2" max="2" width="12.125" bestFit="1" customWidth="1"/>
    <col min="3" max="3" width="10.5" bestFit="1" customWidth="1"/>
    <col min="4" max="4" width="12.125" bestFit="1" customWidth="1"/>
    <col min="5" max="5" width="6.625" bestFit="1" customWidth="1"/>
    <col min="6" max="6" width="10.3125" bestFit="1" customWidth="1"/>
    <col min="7" max="7" width="8.1875" bestFit="1" customWidth="1"/>
    <col min="8" max="11" width="13" bestFit="1" customWidth="1"/>
    <col min="12" max="12" width="11.5" bestFit="1" customWidth="1"/>
    <col min="13" max="13" width="13" bestFit="1" customWidth="1"/>
    <col min="14" max="14" width="18.1875" bestFit="1" customWidth="1"/>
    <col min="15" max="15" width="7.9375" bestFit="1" customWidth="1"/>
    <col min="16" max="16" width="10.3125" bestFit="1" customWidth="1"/>
    <col min="17" max="17" width="6.5" bestFit="1" customWidth="1"/>
  </cols>
  <sheetData>
    <row r="3" spans="1:17" x14ac:dyDescent="0.7">
      <c r="A3" s="1" t="s">
        <v>118</v>
      </c>
      <c r="B3" s="1" t="s">
        <v>119</v>
      </c>
      <c r="C3" s="1" t="s">
        <v>119</v>
      </c>
      <c r="D3" s="1" t="s">
        <v>119</v>
      </c>
      <c r="E3" s="1" t="s">
        <v>119</v>
      </c>
      <c r="F3" s="1" t="s">
        <v>119</v>
      </c>
      <c r="G3" s="1" t="s">
        <v>119</v>
      </c>
      <c r="H3" s="1" t="s">
        <v>119</v>
      </c>
      <c r="I3" s="1" t="s">
        <v>119</v>
      </c>
      <c r="J3" s="1" t="s">
        <v>119</v>
      </c>
      <c r="K3" s="1" t="s">
        <v>119</v>
      </c>
      <c r="L3" s="1" t="s">
        <v>119</v>
      </c>
      <c r="M3" s="1" t="s">
        <v>119</v>
      </c>
      <c r="N3" s="1" t="s">
        <v>119</v>
      </c>
      <c r="O3" s="1" t="s">
        <v>119</v>
      </c>
      <c r="P3" s="1" t="s">
        <v>119</v>
      </c>
      <c r="Q3" s="1" t="s">
        <v>119</v>
      </c>
    </row>
    <row r="4" spans="1:17" x14ac:dyDescent="0.7">
      <c r="A4" s="1" t="s">
        <v>86</v>
      </c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</row>
    <row r="5" spans="1:17" outlineLevel="1" x14ac:dyDescent="0.7">
      <c r="A5" s="1" t="s">
        <v>85</v>
      </c>
      <c r="B5" s="7" t="s">
        <v>0</v>
      </c>
      <c r="C5" s="7" t="s">
        <v>72</v>
      </c>
      <c r="D5" s="7" t="s">
        <v>0</v>
      </c>
      <c r="E5" s="7" t="s">
        <v>71</v>
      </c>
      <c r="F5" s="7" t="s">
        <v>73</v>
      </c>
      <c r="G5" s="7" t="s">
        <v>155</v>
      </c>
      <c r="H5" s="7" t="s">
        <v>15</v>
      </c>
      <c r="I5" s="7" t="s">
        <v>42</v>
      </c>
      <c r="J5" s="7" t="s">
        <v>42</v>
      </c>
      <c r="K5" s="7" t="s">
        <v>42</v>
      </c>
      <c r="L5" s="7" t="s">
        <v>31</v>
      </c>
      <c r="M5" s="7" t="s">
        <v>141</v>
      </c>
      <c r="N5" s="7" t="s">
        <v>84</v>
      </c>
      <c r="O5" s="7" t="s">
        <v>13</v>
      </c>
      <c r="P5" s="7" t="s">
        <v>14</v>
      </c>
      <c r="Q5" s="7" t="s">
        <v>15</v>
      </c>
    </row>
    <row r="6" spans="1:17" hidden="1" outlineLevel="2" x14ac:dyDescent="0.7">
      <c r="A6" s="1" t="s">
        <v>226</v>
      </c>
      <c r="B6" s="1"/>
      <c r="C6" s="1" t="s">
        <v>88</v>
      </c>
      <c r="D6" s="1"/>
      <c r="E6" s="1" t="s">
        <v>90</v>
      </c>
      <c r="F6" s="1" t="s">
        <v>91</v>
      </c>
      <c r="G6" s="1"/>
      <c r="H6" s="1"/>
      <c r="I6" s="1"/>
      <c r="J6" s="1"/>
      <c r="K6" s="1"/>
      <c r="L6" s="1"/>
      <c r="M6" s="1"/>
      <c r="N6" s="1" t="s">
        <v>91</v>
      </c>
      <c r="O6" s="1"/>
      <c r="P6" s="1"/>
      <c r="Q6" s="1"/>
    </row>
    <row r="7" spans="1:17" hidden="1" outlineLevel="2" x14ac:dyDescent="0.7">
      <c r="A7" s="1" t="s">
        <v>227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outlineLevel="3" x14ac:dyDescent="0.7">
      <c r="A8" s="1" t="s">
        <v>114</v>
      </c>
      <c r="B8" s="1"/>
      <c r="C8" s="1"/>
      <c r="D8" s="1" t="s">
        <v>102</v>
      </c>
      <c r="E8" s="1" t="s">
        <v>259</v>
      </c>
      <c r="F8" s="1" t="s">
        <v>258</v>
      </c>
      <c r="G8" s="1" t="s">
        <v>260</v>
      </c>
      <c r="H8" s="1" t="s">
        <v>261</v>
      </c>
      <c r="I8" s="1"/>
      <c r="J8" s="1"/>
      <c r="K8" s="1"/>
      <c r="L8" s="1" t="s">
        <v>129</v>
      </c>
      <c r="M8" s="1" t="s">
        <v>129</v>
      </c>
      <c r="N8" s="1" t="s">
        <v>129</v>
      </c>
      <c r="O8" s="1"/>
      <c r="P8" s="1"/>
      <c r="Q8" s="1"/>
    </row>
    <row r="9" spans="1:17" hidden="1" outlineLevel="3" x14ac:dyDescent="0.7">
      <c r="A9" s="1" t="s">
        <v>115</v>
      </c>
      <c r="B9" s="1"/>
      <c r="C9" s="1" t="s">
        <v>129</v>
      </c>
      <c r="D9" s="1" t="s">
        <v>129</v>
      </c>
      <c r="E9" s="1" t="s">
        <v>129</v>
      </c>
      <c r="F9" s="1" t="s">
        <v>129</v>
      </c>
      <c r="G9" s="1" t="s">
        <v>129</v>
      </c>
      <c r="H9" s="1" t="s">
        <v>129</v>
      </c>
      <c r="I9" s="1"/>
      <c r="J9" s="1"/>
      <c r="K9" s="1"/>
      <c r="L9" s="1" t="s">
        <v>129</v>
      </c>
      <c r="M9" s="1" t="s">
        <v>129</v>
      </c>
      <c r="N9" s="1" t="s">
        <v>129</v>
      </c>
      <c r="O9" s="1"/>
      <c r="P9" s="1"/>
      <c r="Q9" s="1"/>
    </row>
    <row r="10" spans="1:17" hidden="1" outlineLevel="3" x14ac:dyDescent="0.7">
      <c r="A10" s="1" t="s">
        <v>116</v>
      </c>
      <c r="B10" s="1"/>
      <c r="C10" s="1" t="s">
        <v>129</v>
      </c>
      <c r="D10" s="1" t="s">
        <v>129</v>
      </c>
      <c r="E10" s="1" t="s">
        <v>129</v>
      </c>
      <c r="F10" s="1" t="s">
        <v>129</v>
      </c>
      <c r="G10" s="1" t="s">
        <v>129</v>
      </c>
      <c r="H10" s="1" t="s">
        <v>129</v>
      </c>
      <c r="I10" s="1"/>
      <c r="J10" s="1"/>
      <c r="K10" s="1"/>
      <c r="L10" s="1" t="s">
        <v>129</v>
      </c>
      <c r="M10" s="1" t="s">
        <v>129</v>
      </c>
      <c r="N10" s="1" t="s">
        <v>129</v>
      </c>
      <c r="O10" s="1"/>
      <c r="P10" s="1"/>
      <c r="Q10" s="1"/>
    </row>
    <row r="11" spans="1:17" hidden="1" outlineLevel="3" x14ac:dyDescent="0.7">
      <c r="A11" s="1" t="s">
        <v>108</v>
      </c>
      <c r="B11" s="1"/>
      <c r="C11" s="1" t="s">
        <v>129</v>
      </c>
      <c r="D11" s="1" t="s">
        <v>129</v>
      </c>
      <c r="E11" s="1" t="s">
        <v>129</v>
      </c>
      <c r="F11" s="1" t="s">
        <v>129</v>
      </c>
      <c r="G11" s="1" t="s">
        <v>129</v>
      </c>
      <c r="H11" s="1" t="s">
        <v>129</v>
      </c>
      <c r="I11" s="1"/>
      <c r="J11" s="1"/>
      <c r="K11" s="1"/>
      <c r="L11" s="1" t="s">
        <v>129</v>
      </c>
      <c r="M11" s="1" t="s">
        <v>129</v>
      </c>
      <c r="N11" s="1" t="s">
        <v>129</v>
      </c>
      <c r="O11" s="1"/>
      <c r="P11" s="1"/>
      <c r="Q11" s="1"/>
    </row>
    <row r="12" spans="1:17" hidden="1" outlineLevel="3" x14ac:dyDescent="0.7">
      <c r="A12" s="1" t="s">
        <v>109</v>
      </c>
      <c r="B12" s="1"/>
      <c r="C12" s="1" t="s">
        <v>129</v>
      </c>
      <c r="D12" s="1" t="s">
        <v>129</v>
      </c>
      <c r="E12" s="1" t="s">
        <v>129</v>
      </c>
      <c r="F12" s="1" t="s">
        <v>129</v>
      </c>
      <c r="G12" s="1" t="s">
        <v>129</v>
      </c>
      <c r="H12" s="1" t="s">
        <v>129</v>
      </c>
      <c r="I12" s="1"/>
      <c r="J12" s="1"/>
      <c r="K12" s="1"/>
      <c r="L12" s="1" t="s">
        <v>129</v>
      </c>
      <c r="M12" s="1" t="s">
        <v>129</v>
      </c>
      <c r="N12" s="1" t="s">
        <v>129</v>
      </c>
      <c r="O12" s="1"/>
      <c r="P12" s="1"/>
      <c r="Q12" s="1"/>
    </row>
    <row r="13" spans="1:17" hidden="1" outlineLevel="3" x14ac:dyDescent="0.7">
      <c r="A13" s="1" t="s">
        <v>110</v>
      </c>
      <c r="B13" s="1"/>
      <c r="C13" s="1" t="s">
        <v>129</v>
      </c>
      <c r="D13" s="1" t="s">
        <v>129</v>
      </c>
      <c r="E13" s="1" t="s">
        <v>129</v>
      </c>
      <c r="F13" s="1" t="s">
        <v>129</v>
      </c>
      <c r="G13" s="1" t="s">
        <v>129</v>
      </c>
      <c r="H13" s="1" t="s">
        <v>129</v>
      </c>
      <c r="I13" s="1"/>
      <c r="J13" s="1"/>
      <c r="K13" s="1"/>
      <c r="L13" s="1" t="s">
        <v>129</v>
      </c>
      <c r="M13" s="1" t="s">
        <v>129</v>
      </c>
      <c r="N13" s="1" t="s">
        <v>129</v>
      </c>
      <c r="O13" s="1"/>
      <c r="P13" s="1"/>
      <c r="Q13" s="1"/>
    </row>
    <row r="14" spans="1:17" hidden="1" outlineLevel="3" x14ac:dyDescent="0.7">
      <c r="A14" s="1" t="s">
        <v>111</v>
      </c>
      <c r="B14" s="1"/>
      <c r="C14" s="1" t="s">
        <v>129</v>
      </c>
      <c r="D14" s="1" t="s">
        <v>129</v>
      </c>
      <c r="E14" s="1" t="s">
        <v>129</v>
      </c>
      <c r="F14" s="1" t="s">
        <v>129</v>
      </c>
      <c r="G14" s="1" t="s">
        <v>129</v>
      </c>
      <c r="H14" s="1" t="s">
        <v>129</v>
      </c>
      <c r="I14" s="1"/>
      <c r="J14" s="1"/>
      <c r="K14" s="1"/>
      <c r="L14" s="1" t="s">
        <v>129</v>
      </c>
      <c r="M14" s="1" t="s">
        <v>129</v>
      </c>
      <c r="N14" s="1" t="s">
        <v>129</v>
      </c>
      <c r="O14" s="1"/>
      <c r="P14" s="1"/>
      <c r="Q14" s="1"/>
    </row>
    <row r="15" spans="1:17" hidden="1" outlineLevel="3" x14ac:dyDescent="0.7">
      <c r="A15" s="1" t="s">
        <v>112</v>
      </c>
      <c r="B15" s="1"/>
      <c r="C15" s="1" t="s">
        <v>129</v>
      </c>
      <c r="D15" s="1" t="s">
        <v>129</v>
      </c>
      <c r="E15" s="1" t="s">
        <v>129</v>
      </c>
      <c r="F15" s="1" t="s">
        <v>129</v>
      </c>
      <c r="G15" s="1" t="s">
        <v>129</v>
      </c>
      <c r="H15" s="1" t="s">
        <v>129</v>
      </c>
      <c r="I15" s="1"/>
      <c r="J15" s="1"/>
      <c r="K15" s="1"/>
      <c r="L15" s="1" t="s">
        <v>129</v>
      </c>
      <c r="M15" s="1" t="s">
        <v>129</v>
      </c>
      <c r="N15" s="1" t="s">
        <v>129</v>
      </c>
      <c r="O15" s="1"/>
      <c r="P15" s="1"/>
      <c r="Q15" s="1"/>
    </row>
    <row r="16" spans="1:17" hidden="1" outlineLevel="3" x14ac:dyDescent="0.7">
      <c r="A16" s="1" t="s">
        <v>117</v>
      </c>
      <c r="B16" s="1"/>
      <c r="C16" s="1" t="s">
        <v>129</v>
      </c>
      <c r="D16" s="1" t="s">
        <v>204</v>
      </c>
      <c r="E16" s="1" t="s">
        <v>205</v>
      </c>
      <c r="F16" s="1" t="s">
        <v>251</v>
      </c>
      <c r="G16" s="1" t="s">
        <v>207</v>
      </c>
      <c r="H16" s="1" t="s">
        <v>129</v>
      </c>
      <c r="I16" s="1"/>
      <c r="J16" s="1"/>
      <c r="K16" s="1"/>
      <c r="L16" s="1" t="s">
        <v>129</v>
      </c>
      <c r="M16" s="1" t="s">
        <v>129</v>
      </c>
      <c r="N16" s="1" t="s">
        <v>129</v>
      </c>
      <c r="O16" s="1"/>
      <c r="P16" s="1"/>
      <c r="Q16" s="1"/>
    </row>
    <row r="17" spans="1:17" hidden="1" outlineLevel="3" x14ac:dyDescent="0.7">
      <c r="A17" s="1" t="s">
        <v>113</v>
      </c>
      <c r="B17" s="1"/>
      <c r="C17" s="1" t="s">
        <v>129</v>
      </c>
      <c r="D17" s="1" t="s">
        <v>129</v>
      </c>
      <c r="E17" s="1" t="s">
        <v>129</v>
      </c>
      <c r="F17" s="1" t="s">
        <v>129</v>
      </c>
      <c r="G17" s="1" t="s">
        <v>129</v>
      </c>
      <c r="H17" s="1" t="s">
        <v>129</v>
      </c>
      <c r="I17" s="1"/>
      <c r="J17" s="1"/>
      <c r="K17" s="1"/>
      <c r="L17" s="1" t="s">
        <v>129</v>
      </c>
      <c r="M17" s="1" t="s">
        <v>129</v>
      </c>
      <c r="N17" s="1" t="s">
        <v>129</v>
      </c>
      <c r="O17" s="1"/>
      <c r="P17" s="1"/>
      <c r="Q17" s="1"/>
    </row>
    <row r="18" spans="1:17" collapsed="1" x14ac:dyDescent="0.7">
      <c r="A18" s="1" t="s">
        <v>86</v>
      </c>
      <c r="B18" s="5" t="s">
        <v>16</v>
      </c>
      <c r="C18" s="5" t="s">
        <v>17</v>
      </c>
      <c r="D18" s="5" t="s">
        <v>18</v>
      </c>
      <c r="E18" s="5" t="s">
        <v>19</v>
      </c>
      <c r="F18" s="5" t="s">
        <v>20</v>
      </c>
      <c r="G18" s="5" t="s">
        <v>21</v>
      </c>
      <c r="H18" s="5" t="s">
        <v>22</v>
      </c>
      <c r="I18" s="5" t="s">
        <v>23</v>
      </c>
      <c r="J18" s="5" t="s">
        <v>24</v>
      </c>
      <c r="K18" s="5" t="s">
        <v>25</v>
      </c>
      <c r="L18" s="5" t="s">
        <v>26</v>
      </c>
      <c r="M18" s="5" t="s">
        <v>27</v>
      </c>
      <c r="N18" s="5" t="s">
        <v>28</v>
      </c>
      <c r="O18" s="5" t="s">
        <v>29</v>
      </c>
      <c r="P18" s="5" t="s">
        <v>30</v>
      </c>
      <c r="Q18" s="3"/>
    </row>
    <row r="19" spans="1:17" outlineLevel="1" x14ac:dyDescent="0.7">
      <c r="A19" s="1" t="s">
        <v>85</v>
      </c>
      <c r="B19" s="7" t="s">
        <v>16</v>
      </c>
      <c r="C19" s="7" t="s">
        <v>58</v>
      </c>
      <c r="D19" s="7" t="s">
        <v>56</v>
      </c>
      <c r="E19" s="7" t="s">
        <v>66</v>
      </c>
      <c r="F19" s="7" t="s">
        <v>92</v>
      </c>
      <c r="G19" s="7" t="s">
        <v>41</v>
      </c>
      <c r="H19" s="7" t="s">
        <v>37</v>
      </c>
      <c r="I19" s="7" t="s">
        <v>49</v>
      </c>
      <c r="J19" s="7" t="s">
        <v>50</v>
      </c>
      <c r="K19" s="7" t="s">
        <v>61</v>
      </c>
      <c r="L19" s="7" t="s">
        <v>35</v>
      </c>
      <c r="M19" s="7" t="s">
        <v>93</v>
      </c>
      <c r="N19" s="7" t="s">
        <v>94</v>
      </c>
      <c r="O19" s="7" t="s">
        <v>29</v>
      </c>
      <c r="P19" s="7" t="s">
        <v>255</v>
      </c>
      <c r="Q19" s="3"/>
    </row>
    <row r="20" spans="1:17" hidden="1" outlineLevel="2" x14ac:dyDescent="0.7">
      <c r="A20" s="1" t="s">
        <v>87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3"/>
    </row>
    <row r="21" spans="1:17" hidden="1" outlineLevel="2" x14ac:dyDescent="0.7">
      <c r="A21" s="1" t="s">
        <v>227</v>
      </c>
      <c r="B21" s="1"/>
      <c r="C21" s="1" t="s">
        <v>109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outlineLevel="3" x14ac:dyDescent="0.7">
      <c r="A22" s="1" t="s">
        <v>114</v>
      </c>
      <c r="B22" s="1"/>
      <c r="C22" s="1"/>
      <c r="D22" s="1" t="s">
        <v>126</v>
      </c>
      <c r="E22" s="1" t="s">
        <v>127</v>
      </c>
      <c r="F22" s="1" t="s">
        <v>232</v>
      </c>
      <c r="G22" s="1" t="s">
        <v>231</v>
      </c>
      <c r="H22" s="1" t="s">
        <v>128</v>
      </c>
      <c r="I22" s="1" t="s">
        <v>129</v>
      </c>
      <c r="J22" s="1" t="s">
        <v>210</v>
      </c>
      <c r="K22" s="1" t="s">
        <v>211</v>
      </c>
      <c r="L22" s="1" t="s">
        <v>129</v>
      </c>
      <c r="M22" s="1" t="s">
        <v>129</v>
      </c>
      <c r="N22" s="1" t="s">
        <v>129</v>
      </c>
      <c r="O22" s="1"/>
      <c r="P22" s="1"/>
      <c r="Q22" s="1"/>
    </row>
    <row r="23" spans="1:17" hidden="1" outlineLevel="3" x14ac:dyDescent="0.7">
      <c r="A23" s="1" t="s">
        <v>115</v>
      </c>
      <c r="B23" s="1"/>
      <c r="C23" s="1"/>
      <c r="D23" s="1" t="s">
        <v>93</v>
      </c>
      <c r="E23" s="1" t="s">
        <v>130</v>
      </c>
      <c r="F23" s="1" t="s">
        <v>131</v>
      </c>
      <c r="G23" s="1" t="s">
        <v>132</v>
      </c>
      <c r="H23" s="1" t="s">
        <v>133</v>
      </c>
      <c r="I23" s="1" t="s">
        <v>129</v>
      </c>
      <c r="J23" s="1" t="s">
        <v>129</v>
      </c>
      <c r="K23" s="1" t="s">
        <v>129</v>
      </c>
      <c r="L23" s="1" t="s">
        <v>129</v>
      </c>
      <c r="M23" s="1" t="s">
        <v>129</v>
      </c>
      <c r="N23" s="1" t="s">
        <v>129</v>
      </c>
      <c r="O23" s="1"/>
      <c r="P23" s="1"/>
      <c r="Q23" s="1"/>
    </row>
    <row r="24" spans="1:17" hidden="1" outlineLevel="3" x14ac:dyDescent="0.7">
      <c r="A24" s="1" t="s">
        <v>116</v>
      </c>
      <c r="B24" s="1"/>
      <c r="C24" s="1"/>
      <c r="D24" s="1" t="s">
        <v>143</v>
      </c>
      <c r="E24" s="1" t="s">
        <v>156</v>
      </c>
      <c r="F24" s="1" t="s">
        <v>157</v>
      </c>
      <c r="G24" s="1" t="s">
        <v>158</v>
      </c>
      <c r="H24" s="1" t="s">
        <v>129</v>
      </c>
      <c r="I24" s="1" t="s">
        <v>129</v>
      </c>
      <c r="J24" s="1" t="s">
        <v>159</v>
      </c>
      <c r="K24" s="1" t="s">
        <v>160</v>
      </c>
      <c r="L24" s="1" t="s">
        <v>129</v>
      </c>
      <c r="M24" s="1" t="s">
        <v>129</v>
      </c>
      <c r="N24" s="1" t="s">
        <v>129</v>
      </c>
      <c r="O24" s="1"/>
      <c r="P24" s="1"/>
      <c r="Q24" s="1"/>
    </row>
    <row r="25" spans="1:17" hidden="1" outlineLevel="3" x14ac:dyDescent="0.7">
      <c r="A25" s="1" t="s">
        <v>108</v>
      </c>
      <c r="B25" s="1"/>
      <c r="C25" s="1"/>
      <c r="D25" s="1" t="s">
        <v>179</v>
      </c>
      <c r="E25" s="1" t="s">
        <v>129</v>
      </c>
      <c r="F25" s="1" t="s">
        <v>129</v>
      </c>
      <c r="G25" s="1" t="s">
        <v>160</v>
      </c>
      <c r="H25" s="1" t="s">
        <v>159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hidden="1" outlineLevel="3" x14ac:dyDescent="0.7">
      <c r="A26" s="1" t="s">
        <v>109</v>
      </c>
      <c r="B26" s="1"/>
      <c r="C26" s="1"/>
      <c r="D26" s="1" t="s">
        <v>181</v>
      </c>
      <c r="E26" s="1" t="s">
        <v>182</v>
      </c>
      <c r="F26" s="1" t="s">
        <v>183</v>
      </c>
      <c r="G26" s="1" t="s">
        <v>184</v>
      </c>
      <c r="H26" s="1" t="s">
        <v>185</v>
      </c>
      <c r="I26" s="1" t="s">
        <v>186</v>
      </c>
      <c r="J26" s="1"/>
      <c r="K26" s="1"/>
      <c r="L26" s="1"/>
      <c r="M26" s="1"/>
      <c r="N26" s="1"/>
      <c r="O26" s="1"/>
      <c r="P26" s="1"/>
      <c r="Q26" s="1"/>
    </row>
    <row r="27" spans="1:17" hidden="1" outlineLevel="3" x14ac:dyDescent="0.7">
      <c r="A27" s="1" t="s">
        <v>110</v>
      </c>
      <c r="B27" s="1"/>
      <c r="C27" s="1"/>
      <c r="D27" s="1" t="s">
        <v>129</v>
      </c>
      <c r="E27" s="1" t="s">
        <v>129</v>
      </c>
      <c r="F27" s="1" t="s">
        <v>129</v>
      </c>
      <c r="G27" s="1" t="s">
        <v>129</v>
      </c>
      <c r="H27" s="1" t="s">
        <v>101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hidden="1" outlineLevel="3" x14ac:dyDescent="0.7">
      <c r="A28" s="1" t="s">
        <v>111</v>
      </c>
      <c r="B28" s="1"/>
      <c r="C28" s="1"/>
      <c r="D28" s="1" t="s">
        <v>236</v>
      </c>
      <c r="E28" s="1" t="s">
        <v>237</v>
      </c>
      <c r="F28" s="1" t="s">
        <v>234</v>
      </c>
      <c r="G28" s="1" t="s">
        <v>235</v>
      </c>
      <c r="H28" s="1" t="s">
        <v>233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hidden="1" outlineLevel="3" x14ac:dyDescent="0.7">
      <c r="A29" s="1" t="s">
        <v>112</v>
      </c>
      <c r="B29" s="1"/>
      <c r="C29" s="1"/>
      <c r="D29" s="1" t="s">
        <v>129</v>
      </c>
      <c r="E29" s="1" t="s">
        <v>129</v>
      </c>
      <c r="F29" s="1" t="s">
        <v>129</v>
      </c>
      <c r="G29" s="1" t="s">
        <v>129</v>
      </c>
      <c r="H29" s="1" t="s">
        <v>152</v>
      </c>
      <c r="I29" s="1"/>
      <c r="J29" s="1"/>
      <c r="K29" s="1"/>
      <c r="L29" s="1"/>
      <c r="M29" s="1"/>
      <c r="N29" s="1"/>
      <c r="O29" s="1"/>
      <c r="P29" s="1"/>
      <c r="Q29" s="1"/>
    </row>
    <row r="30" spans="1:17" hidden="1" outlineLevel="3" x14ac:dyDescent="0.7">
      <c r="A30" s="1" t="s">
        <v>117</v>
      </c>
      <c r="B30" s="1"/>
      <c r="C30" s="1"/>
      <c r="D30" s="1" t="s">
        <v>250</v>
      </c>
      <c r="E30" s="1" t="s">
        <v>256</v>
      </c>
      <c r="F30" s="1" t="s">
        <v>253</v>
      </c>
      <c r="G30" s="1" t="s">
        <v>254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idden="1" outlineLevel="3" x14ac:dyDescent="0.7">
      <c r="A31" s="1" t="s">
        <v>113</v>
      </c>
      <c r="B31" s="1"/>
      <c r="C31" s="1"/>
      <c r="D31" s="1" t="s">
        <v>214</v>
      </c>
      <c r="E31" s="1" t="s">
        <v>215</v>
      </c>
      <c r="F31" s="1" t="s">
        <v>216</v>
      </c>
      <c r="G31" s="1" t="s">
        <v>217</v>
      </c>
      <c r="H31" s="1" t="s">
        <v>152</v>
      </c>
      <c r="I31" s="1"/>
      <c r="J31" s="1"/>
      <c r="K31" s="1"/>
      <c r="L31" s="1"/>
      <c r="M31" s="1"/>
      <c r="N31" s="1"/>
      <c r="O31" s="1"/>
      <c r="P31" s="1"/>
      <c r="Q31" s="1"/>
    </row>
    <row r="32" spans="1:17" collapsed="1" x14ac:dyDescent="0.7">
      <c r="A32" s="1" t="s">
        <v>86</v>
      </c>
      <c r="B32" s="5" t="s">
        <v>31</v>
      </c>
      <c r="C32" s="5" t="s">
        <v>32</v>
      </c>
      <c r="D32" s="5" t="s">
        <v>33</v>
      </c>
      <c r="E32" s="5" t="s">
        <v>34</v>
      </c>
      <c r="F32" s="5" t="s">
        <v>35</v>
      </c>
      <c r="G32" s="5" t="s">
        <v>36</v>
      </c>
      <c r="H32" s="5" t="s">
        <v>37</v>
      </c>
      <c r="I32" s="5" t="s">
        <v>38</v>
      </c>
      <c r="J32" s="5" t="s">
        <v>39</v>
      </c>
      <c r="K32" s="5" t="s">
        <v>40</v>
      </c>
      <c r="L32" s="5" t="s">
        <v>41</v>
      </c>
      <c r="M32" s="5" t="s">
        <v>42</v>
      </c>
      <c r="N32" s="5" t="s">
        <v>43</v>
      </c>
      <c r="O32" s="5" t="s">
        <v>44</v>
      </c>
      <c r="P32" s="3"/>
      <c r="Q32" s="3"/>
    </row>
    <row r="33" spans="1:17" outlineLevel="1" x14ac:dyDescent="0.7">
      <c r="A33" s="1" t="s">
        <v>85</v>
      </c>
      <c r="B33" s="7" t="s">
        <v>244</v>
      </c>
      <c r="C33" s="7" t="s">
        <v>95</v>
      </c>
      <c r="D33" s="7" t="s">
        <v>46</v>
      </c>
      <c r="E33" s="7" t="s">
        <v>40</v>
      </c>
      <c r="F33" s="7" t="s">
        <v>34</v>
      </c>
      <c r="G33" s="7" t="s">
        <v>38</v>
      </c>
      <c r="H33" s="7" t="s">
        <v>39</v>
      </c>
      <c r="I33" s="7" t="s">
        <v>48</v>
      </c>
      <c r="J33" s="7" t="s">
        <v>51</v>
      </c>
      <c r="K33" s="7" t="s">
        <v>36</v>
      </c>
      <c r="L33" s="7" t="s">
        <v>64</v>
      </c>
      <c r="M33" s="7" t="s">
        <v>96</v>
      </c>
      <c r="N33" s="7" t="s">
        <v>97</v>
      </c>
      <c r="O33" s="7" t="s">
        <v>44</v>
      </c>
      <c r="P33" s="3"/>
      <c r="Q33" s="3"/>
    </row>
    <row r="34" spans="1:17" hidden="1" outlineLevel="2" x14ac:dyDescent="0.7">
      <c r="A34" s="1" t="s">
        <v>87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</row>
    <row r="35" spans="1:17" hidden="1" outlineLevel="2" x14ac:dyDescent="0.7">
      <c r="A35" s="1" t="s">
        <v>228</v>
      </c>
      <c r="B35" s="1" t="s">
        <v>245</v>
      </c>
      <c r="C35" s="1" t="s">
        <v>117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</row>
    <row r="36" spans="1:17" outlineLevel="3" x14ac:dyDescent="0.7">
      <c r="A36" s="1" t="s">
        <v>114</v>
      </c>
      <c r="B36" s="1"/>
      <c r="C36" s="1"/>
      <c r="D36" s="1" t="s">
        <v>122</v>
      </c>
      <c r="E36" s="1" t="s">
        <v>123</v>
      </c>
      <c r="F36" s="1" t="s">
        <v>19</v>
      </c>
      <c r="G36" s="1" t="s">
        <v>20</v>
      </c>
      <c r="H36" s="1" t="s">
        <v>21</v>
      </c>
      <c r="I36" s="1" t="s">
        <v>22</v>
      </c>
      <c r="J36" s="1" t="s">
        <v>23</v>
      </c>
      <c r="K36" s="1" t="s">
        <v>24</v>
      </c>
      <c r="L36" s="1" t="s">
        <v>25</v>
      </c>
      <c r="M36" s="1" t="s">
        <v>124</v>
      </c>
      <c r="N36" s="1" t="s">
        <v>125</v>
      </c>
      <c r="O36" s="1"/>
      <c r="P36" s="1"/>
      <c r="Q36" s="1"/>
    </row>
    <row r="37" spans="1:17" hidden="1" outlineLevel="3" x14ac:dyDescent="0.7">
      <c r="A37" s="1" t="s">
        <v>115</v>
      </c>
      <c r="B37" s="1"/>
      <c r="C37" s="1"/>
      <c r="D37" s="1" t="s">
        <v>96</v>
      </c>
      <c r="E37" s="1" t="s">
        <v>134</v>
      </c>
      <c r="F37" s="1" t="s">
        <v>135</v>
      </c>
      <c r="G37" s="1" t="s">
        <v>136</v>
      </c>
      <c r="H37" s="1" t="s">
        <v>137</v>
      </c>
      <c r="I37" s="1" t="s">
        <v>129</v>
      </c>
      <c r="J37" s="1" t="s">
        <v>129</v>
      </c>
      <c r="K37" s="1" t="s">
        <v>129</v>
      </c>
      <c r="L37" s="1" t="s">
        <v>129</v>
      </c>
      <c r="M37" s="1" t="s">
        <v>129</v>
      </c>
      <c r="N37" s="1" t="s">
        <v>129</v>
      </c>
      <c r="O37" s="1"/>
      <c r="P37" s="1"/>
      <c r="Q37" s="1"/>
    </row>
    <row r="38" spans="1:17" hidden="1" outlineLevel="3" x14ac:dyDescent="0.7">
      <c r="A38" s="1" t="s">
        <v>116</v>
      </c>
      <c r="B38" s="1"/>
      <c r="C38" s="1"/>
      <c r="D38" s="1" t="s">
        <v>161</v>
      </c>
      <c r="E38" s="1" t="s">
        <v>162</v>
      </c>
      <c r="F38" s="1" t="s">
        <v>163</v>
      </c>
      <c r="G38" s="1" t="s">
        <v>164</v>
      </c>
      <c r="H38" s="1" t="s">
        <v>161</v>
      </c>
      <c r="I38" s="1" t="s">
        <v>162</v>
      </c>
      <c r="J38" s="1" t="s">
        <v>165</v>
      </c>
      <c r="K38" s="1" t="s">
        <v>166</v>
      </c>
      <c r="L38" s="1" t="s">
        <v>167</v>
      </c>
      <c r="M38" s="1" t="s">
        <v>168</v>
      </c>
      <c r="N38" s="1" t="s">
        <v>129</v>
      </c>
      <c r="O38" s="1"/>
      <c r="P38" s="1"/>
      <c r="Q38" s="1"/>
    </row>
    <row r="39" spans="1:17" hidden="1" outlineLevel="3" x14ac:dyDescent="0.7">
      <c r="A39" s="1" t="s">
        <v>108</v>
      </c>
      <c r="B39" s="1"/>
      <c r="C39" s="1" t="s">
        <v>180</v>
      </c>
      <c r="D39" s="1" t="s">
        <v>168</v>
      </c>
      <c r="E39" s="1" t="s">
        <v>167</v>
      </c>
      <c r="F39" s="1" t="s">
        <v>166</v>
      </c>
      <c r="G39" s="1" t="s">
        <v>165</v>
      </c>
      <c r="H39" s="1" t="s">
        <v>162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hidden="1" outlineLevel="3" x14ac:dyDescent="0.7">
      <c r="A40" s="1" t="s">
        <v>109</v>
      </c>
      <c r="B40" s="1"/>
      <c r="C40" s="1"/>
      <c r="D40" s="1" t="s">
        <v>197</v>
      </c>
      <c r="E40" s="1" t="s">
        <v>188</v>
      </c>
      <c r="F40" s="1" t="s">
        <v>187</v>
      </c>
      <c r="G40" s="1" t="s">
        <v>252</v>
      </c>
      <c r="H40" s="1" t="s">
        <v>189</v>
      </c>
      <c r="I40" s="1"/>
      <c r="J40" s="1"/>
      <c r="K40" s="1"/>
      <c r="L40" s="1"/>
      <c r="M40" s="1"/>
      <c r="N40" s="1"/>
      <c r="O40" s="1"/>
      <c r="P40" s="1"/>
      <c r="Q40" s="1"/>
    </row>
    <row r="41" spans="1:17" hidden="1" outlineLevel="3" x14ac:dyDescent="0.7">
      <c r="A41" s="1" t="s">
        <v>110</v>
      </c>
      <c r="B41" s="1"/>
      <c r="C41" s="1" t="s">
        <v>105</v>
      </c>
      <c r="D41" s="1" t="s">
        <v>124</v>
      </c>
      <c r="E41" s="1" t="s">
        <v>201</v>
      </c>
      <c r="F41" s="1" t="s">
        <v>200</v>
      </c>
      <c r="G41" s="1" t="s">
        <v>198</v>
      </c>
      <c r="H41" s="1" t="s">
        <v>199</v>
      </c>
      <c r="I41" s="1"/>
      <c r="J41" s="1"/>
      <c r="K41" s="1"/>
      <c r="L41" s="1"/>
      <c r="M41" s="1"/>
      <c r="N41" s="1"/>
      <c r="O41" s="1"/>
      <c r="P41" s="1"/>
      <c r="Q41" s="1"/>
    </row>
    <row r="42" spans="1:17" hidden="1" outlineLevel="3" x14ac:dyDescent="0.7">
      <c r="A42" s="1" t="s">
        <v>111</v>
      </c>
      <c r="B42" s="1"/>
      <c r="C42" s="1"/>
      <c r="D42" s="1" t="s">
        <v>204</v>
      </c>
      <c r="E42" s="1" t="s">
        <v>205</v>
      </c>
      <c r="F42" s="1" t="s">
        <v>206</v>
      </c>
      <c r="G42" s="1" t="s">
        <v>207</v>
      </c>
      <c r="H42" s="1" t="s">
        <v>187</v>
      </c>
      <c r="I42" s="1"/>
      <c r="J42" s="1"/>
      <c r="K42" s="1"/>
      <c r="L42" s="1"/>
      <c r="M42" s="1"/>
      <c r="N42" s="1"/>
      <c r="O42" s="1"/>
      <c r="P42" s="1"/>
      <c r="Q42" s="1"/>
    </row>
    <row r="43" spans="1:17" hidden="1" outlineLevel="3" x14ac:dyDescent="0.7">
      <c r="A43" s="1" t="s">
        <v>112</v>
      </c>
      <c r="B43" s="1"/>
      <c r="C43" s="1"/>
      <c r="D43" s="1" t="s">
        <v>129</v>
      </c>
      <c r="E43" s="1" t="s">
        <v>129</v>
      </c>
      <c r="F43" s="1" t="s">
        <v>129</v>
      </c>
      <c r="G43" s="1" t="s">
        <v>129</v>
      </c>
      <c r="H43" s="1" t="s">
        <v>129</v>
      </c>
      <c r="I43" s="1"/>
      <c r="J43" s="1"/>
      <c r="K43" s="1"/>
      <c r="L43" s="1"/>
      <c r="M43" s="1"/>
      <c r="N43" s="1"/>
      <c r="O43" s="1"/>
      <c r="P43" s="1"/>
      <c r="Q43" s="1"/>
    </row>
    <row r="44" spans="1:17" hidden="1" outlineLevel="3" x14ac:dyDescent="0.7">
      <c r="A44" s="1" t="s">
        <v>117</v>
      </c>
      <c r="B44" s="1"/>
      <c r="C44" s="1"/>
      <c r="D44" s="1" t="s">
        <v>210</v>
      </c>
      <c r="E44" s="1" t="s">
        <v>211</v>
      </c>
      <c r="F44" s="1" t="s">
        <v>212</v>
      </c>
      <c r="G44" s="1" t="s">
        <v>213</v>
      </c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idden="1" outlineLevel="3" x14ac:dyDescent="0.7">
      <c r="A45" s="1" t="s">
        <v>113</v>
      </c>
      <c r="B45" s="1"/>
      <c r="C45" s="1"/>
      <c r="D45" s="1" t="s">
        <v>218</v>
      </c>
      <c r="E45" s="1" t="s">
        <v>219</v>
      </c>
      <c r="F45" s="1" t="s">
        <v>220</v>
      </c>
      <c r="G45" s="1" t="s">
        <v>221</v>
      </c>
      <c r="H45" s="1" t="s">
        <v>152</v>
      </c>
      <c r="I45" s="1"/>
      <c r="J45" s="1"/>
      <c r="K45" s="1"/>
      <c r="L45" s="1"/>
      <c r="M45" s="1"/>
      <c r="N45" s="1"/>
      <c r="O45" s="1"/>
      <c r="P45" s="1"/>
      <c r="Q45" s="1"/>
    </row>
    <row r="46" spans="1:17" collapsed="1" x14ac:dyDescent="0.7">
      <c r="A46" s="1" t="s">
        <v>86</v>
      </c>
      <c r="B46" s="5" t="s">
        <v>45</v>
      </c>
      <c r="C46" s="5" t="s">
        <v>46</v>
      </c>
      <c r="D46" s="5" t="s">
        <v>47</v>
      </c>
      <c r="E46" s="5" t="s">
        <v>48</v>
      </c>
      <c r="F46" s="5" t="s">
        <v>49</v>
      </c>
      <c r="G46" s="5" t="s">
        <v>50</v>
      </c>
      <c r="H46" s="5" t="s">
        <v>51</v>
      </c>
      <c r="I46" s="5" t="s">
        <v>52</v>
      </c>
      <c r="J46" s="5" t="s">
        <v>53</v>
      </c>
      <c r="K46" s="5" t="s">
        <v>54</v>
      </c>
      <c r="L46" s="5" t="s">
        <v>55</v>
      </c>
      <c r="M46" s="5" t="s">
        <v>56</v>
      </c>
      <c r="N46" s="5" t="s">
        <v>57</v>
      </c>
      <c r="O46" s="3"/>
      <c r="P46" s="3"/>
      <c r="Q46" s="3"/>
    </row>
    <row r="47" spans="1:17" outlineLevel="1" x14ac:dyDescent="0.7">
      <c r="A47" s="1" t="s">
        <v>85</v>
      </c>
      <c r="B47" s="7" t="s">
        <v>45</v>
      </c>
      <c r="C47" s="7" t="s">
        <v>101</v>
      </c>
      <c r="D47" s="7" t="s">
        <v>55</v>
      </c>
      <c r="E47" s="7" t="s">
        <v>32</v>
      </c>
      <c r="F47" s="7" t="s">
        <v>52</v>
      </c>
      <c r="G47" s="7" t="s">
        <v>53</v>
      </c>
      <c r="H47" s="7" t="s">
        <v>60</v>
      </c>
      <c r="I47" s="7" t="s">
        <v>63</v>
      </c>
      <c r="J47" s="7" t="s">
        <v>65</v>
      </c>
      <c r="K47" s="7" t="s">
        <v>33</v>
      </c>
      <c r="L47" s="7" t="s">
        <v>98</v>
      </c>
      <c r="M47" s="7" t="s">
        <v>99</v>
      </c>
      <c r="N47" s="7" t="s">
        <v>100</v>
      </c>
      <c r="O47" s="3"/>
      <c r="P47" s="3"/>
      <c r="Q47" s="3"/>
    </row>
    <row r="48" spans="1:17" hidden="1" outlineLevel="2" x14ac:dyDescent="0.7">
      <c r="A48" s="1" t="s">
        <v>87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"/>
      <c r="P48" s="3"/>
      <c r="Q48" s="3"/>
    </row>
    <row r="49" spans="1:17" hidden="1" outlineLevel="2" x14ac:dyDescent="0.7">
      <c r="A49" s="1" t="s">
        <v>228</v>
      </c>
      <c r="B49" s="1"/>
      <c r="C49" s="1" t="s">
        <v>113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"/>
      <c r="P49" s="3"/>
      <c r="Q49" s="3"/>
    </row>
    <row r="50" spans="1:17" outlineLevel="3" x14ac:dyDescent="0.7">
      <c r="A50" s="1" t="s">
        <v>114</v>
      </c>
      <c r="B50" s="1"/>
      <c r="C50" s="1"/>
      <c r="D50" s="1" t="s">
        <v>120</v>
      </c>
      <c r="E50" s="1" t="s">
        <v>121</v>
      </c>
      <c r="F50" s="1" t="s">
        <v>3</v>
      </c>
      <c r="G50" s="1" t="s">
        <v>4</v>
      </c>
      <c r="H50" s="1" t="s">
        <v>5</v>
      </c>
      <c r="I50" s="1" t="s">
        <v>6</v>
      </c>
      <c r="J50" s="1" t="s">
        <v>7</v>
      </c>
      <c r="K50" s="1" t="s">
        <v>8</v>
      </c>
      <c r="L50" s="1" t="s">
        <v>9</v>
      </c>
      <c r="M50" s="1" t="s">
        <v>10</v>
      </c>
      <c r="N50" s="1" t="s">
        <v>11</v>
      </c>
      <c r="O50" s="1"/>
      <c r="P50" s="1"/>
      <c r="Q50" s="1"/>
    </row>
    <row r="51" spans="1:17" hidden="1" outlineLevel="3" x14ac:dyDescent="0.7">
      <c r="A51" s="1" t="s">
        <v>115</v>
      </c>
      <c r="B51" s="1"/>
      <c r="C51" s="1"/>
      <c r="D51" s="1" t="s">
        <v>99</v>
      </c>
      <c r="E51" s="1" t="s">
        <v>98</v>
      </c>
      <c r="F51" s="1" t="s">
        <v>138</v>
      </c>
      <c r="G51" s="1" t="s">
        <v>140</v>
      </c>
      <c r="H51" s="1" t="s">
        <v>139</v>
      </c>
      <c r="I51" s="1" t="s">
        <v>129</v>
      </c>
      <c r="J51" s="1" t="s">
        <v>129</v>
      </c>
      <c r="K51" s="1" t="s">
        <v>129</v>
      </c>
      <c r="L51" s="1" t="s">
        <v>129</v>
      </c>
      <c r="M51" s="1" t="s">
        <v>129</v>
      </c>
      <c r="N51" s="1" t="s">
        <v>129</v>
      </c>
      <c r="O51" s="1"/>
      <c r="P51" s="1"/>
      <c r="Q51" s="1"/>
    </row>
    <row r="52" spans="1:17" hidden="1" outlineLevel="3" x14ac:dyDescent="0.7">
      <c r="A52" s="1" t="s">
        <v>116</v>
      </c>
      <c r="B52" s="1"/>
      <c r="C52" s="1"/>
      <c r="D52" s="1" t="s">
        <v>169</v>
      </c>
      <c r="E52" s="1" t="s">
        <v>170</v>
      </c>
      <c r="F52" s="1" t="s">
        <v>171</v>
      </c>
      <c r="G52" s="1" t="s">
        <v>172</v>
      </c>
      <c r="H52" s="1" t="s">
        <v>173</v>
      </c>
      <c r="I52" s="1" t="s">
        <v>174</v>
      </c>
      <c r="J52" s="1" t="s">
        <v>175</v>
      </c>
      <c r="K52" s="1" t="s">
        <v>176</v>
      </c>
      <c r="L52" s="1" t="s">
        <v>177</v>
      </c>
      <c r="M52" s="1" t="s">
        <v>178</v>
      </c>
      <c r="N52" s="1" t="s">
        <v>129</v>
      </c>
      <c r="O52" s="1"/>
      <c r="P52" s="1"/>
      <c r="Q52" s="1"/>
    </row>
    <row r="53" spans="1:17" hidden="1" outlineLevel="3" x14ac:dyDescent="0.7">
      <c r="A53" s="1" t="s">
        <v>108</v>
      </c>
      <c r="B53" s="1"/>
      <c r="C53" s="1"/>
      <c r="D53" s="1" t="s">
        <v>178</v>
      </c>
      <c r="E53" s="1" t="s">
        <v>177</v>
      </c>
      <c r="F53" s="1" t="s">
        <v>176</v>
      </c>
      <c r="G53" s="1" t="s">
        <v>175</v>
      </c>
      <c r="H53" s="1" t="s">
        <v>174</v>
      </c>
      <c r="I53" s="1"/>
      <c r="J53" s="1"/>
      <c r="K53" s="1"/>
      <c r="L53" s="1"/>
      <c r="M53" s="1"/>
      <c r="N53" s="1"/>
      <c r="O53" s="1"/>
      <c r="P53" s="1"/>
      <c r="Q53" s="1"/>
    </row>
    <row r="54" spans="1:17" hidden="1" outlineLevel="3" x14ac:dyDescent="0.7">
      <c r="A54" s="1" t="s">
        <v>109</v>
      </c>
      <c r="B54" s="1"/>
      <c r="C54" s="1" t="s">
        <v>190</v>
      </c>
      <c r="D54" s="1" t="s">
        <v>191</v>
      </c>
      <c r="E54" s="1" t="s">
        <v>192</v>
      </c>
      <c r="F54" s="1" t="s">
        <v>193</v>
      </c>
      <c r="G54" s="1" t="s">
        <v>194</v>
      </c>
      <c r="H54" s="1" t="s">
        <v>195</v>
      </c>
      <c r="I54" s="1"/>
      <c r="J54" s="1"/>
      <c r="K54" s="1"/>
      <c r="L54" s="1"/>
      <c r="M54" s="1"/>
      <c r="N54" s="1"/>
      <c r="O54" s="1"/>
      <c r="P54" s="1"/>
      <c r="Q54" s="1"/>
    </row>
    <row r="55" spans="1:17" hidden="1" outlineLevel="3" x14ac:dyDescent="0.7">
      <c r="A55" s="1" t="s">
        <v>110</v>
      </c>
      <c r="B55" s="1"/>
      <c r="C55" s="1" t="s">
        <v>104</v>
      </c>
      <c r="D55" s="1" t="s">
        <v>103</v>
      </c>
      <c r="E55" s="1" t="s">
        <v>102</v>
      </c>
      <c r="F55" s="1" t="s">
        <v>202</v>
      </c>
      <c r="G55" s="1" t="s">
        <v>203</v>
      </c>
      <c r="H55" s="1" t="s">
        <v>196</v>
      </c>
      <c r="I55" s="1"/>
      <c r="J55" s="1"/>
      <c r="K55" s="1"/>
      <c r="L55" s="1"/>
      <c r="M55" s="1"/>
      <c r="N55" s="1"/>
      <c r="O55" s="1"/>
      <c r="P55" s="1"/>
      <c r="Q55" s="1"/>
    </row>
    <row r="56" spans="1:17" hidden="1" outlineLevel="3" x14ac:dyDescent="0.7">
      <c r="A56" s="1" t="s">
        <v>111</v>
      </c>
      <c r="B56" s="1"/>
      <c r="C56" s="1"/>
      <c r="D56" s="1" t="s">
        <v>209</v>
      </c>
      <c r="E56" s="1" t="s">
        <v>208</v>
      </c>
      <c r="F56" s="1" t="s">
        <v>238</v>
      </c>
      <c r="G56" s="1" t="s">
        <v>239</v>
      </c>
      <c r="H56" s="1" t="s">
        <v>152</v>
      </c>
      <c r="I56" s="1"/>
      <c r="J56" s="1"/>
      <c r="K56" s="1"/>
      <c r="L56" s="1"/>
      <c r="M56" s="1"/>
      <c r="N56" s="1"/>
      <c r="O56" s="1"/>
      <c r="P56" s="1"/>
      <c r="Q56" s="1"/>
    </row>
    <row r="57" spans="1:17" hidden="1" outlineLevel="3" x14ac:dyDescent="0.7">
      <c r="A57" s="1" t="s">
        <v>112</v>
      </c>
      <c r="B57" s="1"/>
      <c r="C57" s="1"/>
      <c r="D57" s="1" t="s">
        <v>129</v>
      </c>
      <c r="E57" s="1" t="s">
        <v>129</v>
      </c>
      <c r="F57" s="1" t="s">
        <v>129</v>
      </c>
      <c r="G57" s="1" t="s">
        <v>129</v>
      </c>
      <c r="H57" s="1" t="s">
        <v>129</v>
      </c>
      <c r="I57" s="1"/>
      <c r="J57" s="1"/>
      <c r="K57" s="1"/>
      <c r="L57" s="1"/>
      <c r="M57" s="1"/>
      <c r="N57" s="1"/>
      <c r="O57" s="1"/>
      <c r="P57" s="1"/>
      <c r="Q57" s="1"/>
    </row>
    <row r="58" spans="1:17" hidden="1" outlineLevel="3" x14ac:dyDescent="0.7">
      <c r="A58" s="1" t="s">
        <v>117</v>
      </c>
      <c r="B58" s="1"/>
      <c r="C58" s="1"/>
      <c r="D58" s="1" t="s">
        <v>209</v>
      </c>
      <c r="E58" s="1" t="s">
        <v>208</v>
      </c>
      <c r="F58" s="1" t="s">
        <v>238</v>
      </c>
      <c r="G58" s="1" t="s">
        <v>239</v>
      </c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idden="1" outlineLevel="3" x14ac:dyDescent="0.7">
      <c r="A59" s="1" t="s">
        <v>113</v>
      </c>
      <c r="B59" s="1"/>
      <c r="C59" s="1"/>
      <c r="D59" s="1" t="s">
        <v>222</v>
      </c>
      <c r="E59" s="1" t="s">
        <v>223</v>
      </c>
      <c r="F59" s="1" t="s">
        <v>224</v>
      </c>
      <c r="G59" s="1" t="s">
        <v>225</v>
      </c>
      <c r="H59" s="1" t="s">
        <v>152</v>
      </c>
      <c r="I59" s="1"/>
      <c r="J59" s="1"/>
      <c r="K59" s="1"/>
      <c r="L59" s="1"/>
      <c r="M59" s="1"/>
      <c r="N59" s="1"/>
      <c r="O59" s="1"/>
      <c r="P59" s="1"/>
      <c r="Q59" s="1"/>
    </row>
    <row r="60" spans="1:17" collapsed="1" x14ac:dyDescent="0.7">
      <c r="A60" s="1" t="s">
        <v>86</v>
      </c>
      <c r="B60" s="6" t="s">
        <v>58</v>
      </c>
      <c r="C60" s="6"/>
      <c r="D60" s="5" t="s">
        <v>59</v>
      </c>
      <c r="E60" s="5" t="s">
        <v>60</v>
      </c>
      <c r="F60" s="5" t="s">
        <v>61</v>
      </c>
      <c r="G60" s="5" t="s">
        <v>62</v>
      </c>
      <c r="H60" s="5" t="s">
        <v>63</v>
      </c>
      <c r="I60" s="5" t="s">
        <v>64</v>
      </c>
      <c r="J60" s="5" t="s">
        <v>65</v>
      </c>
      <c r="K60" s="5" t="s">
        <v>66</v>
      </c>
      <c r="L60" s="5" t="s">
        <v>67</v>
      </c>
      <c r="M60" s="5" t="s">
        <v>68</v>
      </c>
      <c r="N60" s="5" t="s">
        <v>69</v>
      </c>
      <c r="O60" s="5" t="s">
        <v>81</v>
      </c>
      <c r="P60" s="5" t="s">
        <v>70</v>
      </c>
      <c r="Q60" s="3"/>
    </row>
    <row r="61" spans="1:17" outlineLevel="1" x14ac:dyDescent="0.7">
      <c r="A61" s="1" t="s">
        <v>85</v>
      </c>
      <c r="B61" s="8" t="s">
        <v>58</v>
      </c>
      <c r="C61" s="8"/>
      <c r="D61" s="9" t="s">
        <v>59</v>
      </c>
      <c r="E61" s="7" t="s">
        <v>19</v>
      </c>
      <c r="F61" s="7" t="s">
        <v>15</v>
      </c>
      <c r="G61" s="7" t="s">
        <v>75</v>
      </c>
      <c r="H61" s="7" t="s">
        <v>44</v>
      </c>
      <c r="I61" s="7" t="s">
        <v>240</v>
      </c>
      <c r="J61" s="7" t="s">
        <v>30</v>
      </c>
      <c r="K61" s="7" t="s">
        <v>102</v>
      </c>
      <c r="L61" s="7" t="s">
        <v>103</v>
      </c>
      <c r="M61" s="7" t="s">
        <v>104</v>
      </c>
      <c r="N61" s="7" t="s">
        <v>105</v>
      </c>
      <c r="O61" s="7" t="s">
        <v>81</v>
      </c>
      <c r="P61" s="7" t="s">
        <v>70</v>
      </c>
      <c r="Q61" s="3"/>
    </row>
    <row r="62" spans="1:17" hidden="1" outlineLevel="2" x14ac:dyDescent="0.7">
      <c r="A62" s="1" t="s">
        <v>87</v>
      </c>
      <c r="B62" s="2"/>
      <c r="C62" s="2"/>
      <c r="D62" s="4"/>
      <c r="E62" s="1"/>
      <c r="F62" s="1"/>
      <c r="G62" s="1"/>
      <c r="H62" s="1"/>
      <c r="I62" s="1" t="s">
        <v>241</v>
      </c>
      <c r="J62" s="1"/>
      <c r="K62" s="1"/>
      <c r="L62" s="1"/>
      <c r="M62" s="1"/>
      <c r="N62" s="1"/>
      <c r="O62" s="1"/>
      <c r="P62" s="1"/>
      <c r="Q62" s="3"/>
    </row>
    <row r="63" spans="1:17" hidden="1" outlineLevel="2" x14ac:dyDescent="0.7">
      <c r="A63" s="1" t="s">
        <v>228</v>
      </c>
      <c r="B63" s="2"/>
      <c r="C63" s="2"/>
      <c r="D63" s="4"/>
      <c r="E63" s="1" t="s">
        <v>108</v>
      </c>
      <c r="F63" s="1" t="s">
        <v>111</v>
      </c>
      <c r="G63" s="1" t="s">
        <v>107</v>
      </c>
      <c r="H63" s="1" t="s">
        <v>106</v>
      </c>
      <c r="I63" s="1"/>
      <c r="J63" s="1" t="s">
        <v>242</v>
      </c>
      <c r="K63" s="1"/>
      <c r="L63" s="1"/>
      <c r="M63" s="1"/>
      <c r="N63" s="1"/>
      <c r="O63" s="1"/>
      <c r="P63" s="1"/>
      <c r="Q63" s="3"/>
    </row>
    <row r="64" spans="1:17" outlineLevel="3" x14ac:dyDescent="0.7">
      <c r="A64" s="1" t="s">
        <v>114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idden="1" outlineLevel="3" x14ac:dyDescent="0.7">
      <c r="A65" s="1" t="s">
        <v>115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idden="1" outlineLevel="3" x14ac:dyDescent="0.7">
      <c r="A66" s="1" t="s">
        <v>116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idden="1" outlineLevel="3" x14ac:dyDescent="0.7">
      <c r="A67" s="1" t="s">
        <v>108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hidden="1" outlineLevel="3" x14ac:dyDescent="0.7">
      <c r="A68" s="1" t="s">
        <v>109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idden="1" outlineLevel="3" x14ac:dyDescent="0.7">
      <c r="A69" s="1" t="s">
        <v>110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hidden="1" outlineLevel="3" x14ac:dyDescent="0.7">
      <c r="A70" s="1" t="s">
        <v>111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idden="1" outlineLevel="3" x14ac:dyDescent="0.7">
      <c r="A71" s="1" t="s">
        <v>112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hidden="1" outlineLevel="3" x14ac:dyDescent="0.7">
      <c r="A72" s="1" t="s">
        <v>117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hidden="1" outlineLevel="3" x14ac:dyDescent="0.7">
      <c r="A73" s="1" t="s">
        <v>113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collapsed="1" x14ac:dyDescent="0.7">
      <c r="A74" s="1" t="s">
        <v>86</v>
      </c>
      <c r="B74" s="5"/>
      <c r="C74" s="5" t="s">
        <v>71</v>
      </c>
      <c r="D74" s="5" t="s">
        <v>72</v>
      </c>
      <c r="E74" s="5" t="s">
        <v>73</v>
      </c>
      <c r="F74" s="5" t="s">
        <v>74</v>
      </c>
      <c r="G74" s="5" t="s">
        <v>75</v>
      </c>
      <c r="H74" s="3"/>
      <c r="I74" s="3"/>
      <c r="J74" s="5" t="s">
        <v>83</v>
      </c>
      <c r="K74" s="5" t="s">
        <v>76</v>
      </c>
      <c r="L74" s="5" t="s">
        <v>77</v>
      </c>
      <c r="M74" s="5" t="s">
        <v>78</v>
      </c>
      <c r="N74" s="5" t="s">
        <v>79</v>
      </c>
      <c r="O74" s="5" t="s">
        <v>80</v>
      </c>
      <c r="P74" s="5" t="s">
        <v>82</v>
      </c>
      <c r="Q74" s="3"/>
    </row>
    <row r="75" spans="1:17" outlineLevel="1" x14ac:dyDescent="0.7">
      <c r="A75" s="1" t="s">
        <v>85</v>
      </c>
      <c r="B75" s="7"/>
      <c r="C75" s="7" t="s">
        <v>244</v>
      </c>
      <c r="D75" s="7" t="s">
        <v>72</v>
      </c>
      <c r="E75" s="7" t="s">
        <v>73</v>
      </c>
      <c r="F75" s="7" t="s">
        <v>71</v>
      </c>
      <c r="G75" s="7" t="s">
        <v>75</v>
      </c>
      <c r="H75" s="7"/>
      <c r="I75" s="7"/>
      <c r="J75" s="7" t="s">
        <v>246</v>
      </c>
      <c r="K75" s="7" t="s">
        <v>247</v>
      </c>
      <c r="L75" s="7" t="s">
        <v>77</v>
      </c>
      <c r="M75" s="7" t="s">
        <v>78</v>
      </c>
      <c r="N75" s="7" t="s">
        <v>79</v>
      </c>
      <c r="O75" s="7" t="s">
        <v>80</v>
      </c>
      <c r="P75" s="7" t="s">
        <v>82</v>
      </c>
      <c r="Q75" s="3"/>
    </row>
    <row r="76" spans="1:17" hidden="1" outlineLevel="2" x14ac:dyDescent="0.7">
      <c r="A76" s="1" t="s">
        <v>87</v>
      </c>
      <c r="B76" s="3"/>
      <c r="C76" s="1"/>
      <c r="D76" s="1"/>
      <c r="E76" s="1"/>
      <c r="F76" s="1" t="s">
        <v>89</v>
      </c>
      <c r="G76" s="1"/>
      <c r="H76" s="3"/>
      <c r="I76" s="3"/>
      <c r="J76" s="1" t="s">
        <v>248</v>
      </c>
      <c r="K76" s="1" t="s">
        <v>249</v>
      </c>
      <c r="L76" s="1"/>
      <c r="M76" s="1"/>
      <c r="N76" s="1"/>
      <c r="O76" s="1"/>
      <c r="P76" s="1"/>
      <c r="Q76" s="3"/>
    </row>
    <row r="77" spans="1:17" hidden="1" outlineLevel="2" x14ac:dyDescent="0.7">
      <c r="A77" s="1" t="s">
        <v>228</v>
      </c>
      <c r="B77" s="3"/>
      <c r="C77" s="1" t="s">
        <v>110</v>
      </c>
      <c r="D77" s="1"/>
      <c r="E77" s="1"/>
      <c r="F77" s="1"/>
      <c r="G77" s="1"/>
      <c r="H77" s="3"/>
      <c r="I77" s="3"/>
      <c r="J77" s="1"/>
      <c r="K77" s="1"/>
      <c r="L77" s="1"/>
      <c r="M77" s="1"/>
      <c r="N77" s="1"/>
      <c r="O77" s="1"/>
      <c r="P77" s="1"/>
      <c r="Q77" s="3"/>
    </row>
    <row r="78" spans="1:17" outlineLevel="3" x14ac:dyDescent="0.7">
      <c r="A78" s="1" t="s">
        <v>114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idden="1" outlineLevel="3" x14ac:dyDescent="0.7">
      <c r="A79" s="1" t="s">
        <v>115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idden="1" outlineLevel="3" x14ac:dyDescent="0.7">
      <c r="A80" s="1" t="s">
        <v>116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hidden="1" outlineLevel="3" x14ac:dyDescent="0.7">
      <c r="A81" s="1" t="s">
        <v>108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hidden="1" outlineLevel="3" x14ac:dyDescent="0.7">
      <c r="A82" s="1" t="s">
        <v>109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hidden="1" outlineLevel="3" x14ac:dyDescent="0.7">
      <c r="A83" s="1" t="s">
        <v>110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hidden="1" outlineLevel="3" x14ac:dyDescent="0.7">
      <c r="A84" s="1" t="s">
        <v>111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hidden="1" outlineLevel="3" x14ac:dyDescent="0.7">
      <c r="A85" s="1" t="s">
        <v>112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hidden="1" outlineLevel="3" x14ac:dyDescent="0.7">
      <c r="A86" s="1" t="s">
        <v>117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hidden="1" outlineLevel="3" x14ac:dyDescent="0.7">
      <c r="A87" s="1" t="s">
        <v>113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hidden="1" x14ac:dyDescent="0.7">
      <c r="B88" t="str">
        <f>CHAR(COLUMN()+64)</f>
        <v>B</v>
      </c>
      <c r="C88" t="str">
        <f t="shared" ref="C88:Q88" si="0">CHAR(COLUMN()+64)</f>
        <v>C</v>
      </c>
      <c r="D88" t="str">
        <f t="shared" si="0"/>
        <v>D</v>
      </c>
      <c r="E88" t="str">
        <f t="shared" si="0"/>
        <v>E</v>
      </c>
      <c r="F88" t="str">
        <f t="shared" si="0"/>
        <v>F</v>
      </c>
      <c r="G88" t="str">
        <f t="shared" si="0"/>
        <v>G</v>
      </c>
      <c r="H88" t="str">
        <f t="shared" si="0"/>
        <v>H</v>
      </c>
      <c r="I88" t="str">
        <f t="shared" si="0"/>
        <v>I</v>
      </c>
      <c r="J88" t="str">
        <f t="shared" si="0"/>
        <v>J</v>
      </c>
      <c r="K88" t="str">
        <f t="shared" si="0"/>
        <v>K</v>
      </c>
      <c r="L88" t="str">
        <f t="shared" si="0"/>
        <v>L</v>
      </c>
      <c r="M88" t="str">
        <f t="shared" si="0"/>
        <v>M</v>
      </c>
      <c r="N88" t="str">
        <f t="shared" si="0"/>
        <v>N</v>
      </c>
      <c r="O88" t="str">
        <f t="shared" si="0"/>
        <v>O</v>
      </c>
      <c r="P88" t="str">
        <f t="shared" si="0"/>
        <v>P</v>
      </c>
      <c r="Q88" t="str">
        <f t="shared" si="0"/>
        <v>Q</v>
      </c>
    </row>
    <row r="89" spans="1:17" hidden="1" x14ac:dyDescent="0.7">
      <c r="A89">
        <f>VLOOKUP(preview!B1,preview!ES3:ET16,2,FALSE)</f>
        <v>5</v>
      </c>
      <c r="B89">
        <f ca="1">INDIRECT(B$88&amp;$A89+3)</f>
        <v>0</v>
      </c>
      <c r="C89">
        <f t="shared" ref="C89:Q89" ca="1" si="1">INDIRECT(C$88&amp;$A$89+3)</f>
        <v>0</v>
      </c>
      <c r="D89" t="str">
        <f t="shared" ca="1" si="1"/>
        <v>F9</v>
      </c>
      <c r="E89" t="str">
        <f t="shared" ca="1" si="1"/>
        <v>S-Tab</v>
      </c>
      <c r="F89" t="str">
        <f t="shared" ca="1" si="1"/>
        <v>Tab</v>
      </c>
      <c r="G89" t="str">
        <f t="shared" ca="1" si="1"/>
        <v>A-F4</v>
      </c>
      <c r="H89" t="str">
        <f t="shared" ca="1" si="1"/>
        <v>C-W</v>
      </c>
      <c r="I89">
        <f t="shared" ca="1" si="1"/>
        <v>0</v>
      </c>
      <c r="J89">
        <f t="shared" ca="1" si="1"/>
        <v>0</v>
      </c>
      <c r="K89">
        <f t="shared" ca="1" si="1"/>
        <v>0</v>
      </c>
      <c r="L89" t="str">
        <f t="shared" ca="1" si="1"/>
        <v>＠</v>
      </c>
      <c r="M89" t="str">
        <f t="shared" ca="1" si="1"/>
        <v>＠</v>
      </c>
      <c r="N89" t="str">
        <f t="shared" ca="1" si="1"/>
        <v>＠</v>
      </c>
      <c r="O89">
        <f t="shared" ca="1" si="1"/>
        <v>0</v>
      </c>
      <c r="P89">
        <f t="shared" ca="1" si="1"/>
        <v>0</v>
      </c>
      <c r="Q89">
        <f t="shared" ca="1" si="1"/>
        <v>0</v>
      </c>
    </row>
    <row r="90" spans="1:17" hidden="1" x14ac:dyDescent="0.7">
      <c r="A90">
        <f>A89+14</f>
        <v>19</v>
      </c>
      <c r="B90">
        <f ca="1">INDIRECT(B$88&amp;$A90+3)</f>
        <v>0</v>
      </c>
      <c r="C90">
        <f t="shared" ref="C90:Q90" ca="1" si="2">INDIRECT(C$88&amp;$A$89+3+14)</f>
        <v>0</v>
      </c>
      <c r="D90" t="str">
        <f t="shared" ca="1" si="2"/>
        <v>←</v>
      </c>
      <c r="E90" t="str">
        <f t="shared" ca="1" si="2"/>
        <v>→</v>
      </c>
      <c r="F90" t="str">
        <f t="shared" ca="1" si="2"/>
        <v>↓</v>
      </c>
      <c r="G90" t="str">
        <f t="shared" ca="1" si="2"/>
        <v>↑</v>
      </c>
      <c r="H90" t="str">
        <f t="shared" ca="1" si="2"/>
        <v>A-S-C-Y</v>
      </c>
      <c r="I90" t="str">
        <f t="shared" ca="1" si="2"/>
        <v>＠</v>
      </c>
      <c r="J90" t="str">
        <f t="shared" ca="1" si="2"/>
        <v>家</v>
      </c>
      <c r="K90" t="str">
        <f t="shared" ca="1" si="2"/>
        <v>終</v>
      </c>
      <c r="L90" t="str">
        <f t="shared" ca="1" si="2"/>
        <v>＠</v>
      </c>
      <c r="M90" t="str">
        <f t="shared" ca="1" si="2"/>
        <v>＠</v>
      </c>
      <c r="N90" t="str">
        <f t="shared" ca="1" si="2"/>
        <v>＠</v>
      </c>
      <c r="O90">
        <f t="shared" ca="1" si="2"/>
        <v>0</v>
      </c>
      <c r="P90">
        <f t="shared" ca="1" si="2"/>
        <v>0</v>
      </c>
      <c r="Q90">
        <f t="shared" ca="1" si="2"/>
        <v>0</v>
      </c>
    </row>
    <row r="91" spans="1:17" hidden="1" x14ac:dyDescent="0.7">
      <c r="A91">
        <f t="shared" ref="A91:A94" si="3">A90+14</f>
        <v>33</v>
      </c>
      <c r="B91">
        <f t="shared" ref="B91:Q94" ca="1" si="4">INDIRECT(B$88&amp;$A91+3)</f>
        <v>0</v>
      </c>
      <c r="C91">
        <f t="shared" ca="1" si="4"/>
        <v>0</v>
      </c>
      <c r="D91" t="str">
        <f t="shared" ca="1" si="4"/>
        <v>_1</v>
      </c>
      <c r="E91" t="str">
        <f t="shared" ca="1" si="4"/>
        <v>_2</v>
      </c>
      <c r="F91" t="str">
        <f t="shared" ca="1" si="4"/>
        <v>_3</v>
      </c>
      <c r="G91" t="str">
        <f t="shared" ca="1" si="4"/>
        <v>_4</v>
      </c>
      <c r="H91" t="str">
        <f t="shared" ca="1" si="4"/>
        <v>_5</v>
      </c>
      <c r="I91" t="str">
        <f t="shared" ca="1" si="4"/>
        <v>_6</v>
      </c>
      <c r="J91" t="str">
        <f t="shared" ca="1" si="4"/>
        <v>_7</v>
      </c>
      <c r="K91" t="str">
        <f t="shared" ca="1" si="4"/>
        <v>_8</v>
      </c>
      <c r="L91" t="str">
        <f t="shared" ca="1" si="4"/>
        <v>_9</v>
      </c>
      <c r="M91" t="str">
        <f t="shared" ca="1" si="4"/>
        <v>_0</v>
      </c>
      <c r="N91" t="str">
        <f t="shared" ca="1" si="4"/>
        <v>F12</v>
      </c>
      <c r="O91">
        <f t="shared" ca="1" si="4"/>
        <v>0</v>
      </c>
      <c r="P91">
        <f t="shared" ca="1" si="4"/>
        <v>0</v>
      </c>
      <c r="Q91">
        <f t="shared" ca="1" si="4"/>
        <v>0</v>
      </c>
    </row>
    <row r="92" spans="1:17" hidden="1" x14ac:dyDescent="0.7">
      <c r="A92">
        <f t="shared" si="3"/>
        <v>47</v>
      </c>
      <c r="B92">
        <f t="shared" ca="1" si="4"/>
        <v>0</v>
      </c>
      <c r="C92">
        <f t="shared" ca="1" si="4"/>
        <v>0</v>
      </c>
      <c r="D92" t="str">
        <f t="shared" ca="1" si="4"/>
        <v>F1</v>
      </c>
      <c r="E92" t="str">
        <f t="shared" ca="1" si="4"/>
        <v>F2</v>
      </c>
      <c r="F92" t="str">
        <f t="shared" ca="1" si="4"/>
        <v>F3</v>
      </c>
      <c r="G92" t="str">
        <f t="shared" ca="1" si="4"/>
        <v>F4</v>
      </c>
      <c r="H92" t="str">
        <f t="shared" ca="1" si="4"/>
        <v>F5</v>
      </c>
      <c r="I92" t="str">
        <f t="shared" ca="1" si="4"/>
        <v>F6</v>
      </c>
      <c r="J92" t="str">
        <f t="shared" ca="1" si="4"/>
        <v>F7</v>
      </c>
      <c r="K92" t="str">
        <f t="shared" ca="1" si="4"/>
        <v>F8</v>
      </c>
      <c r="L92" t="str">
        <f t="shared" ca="1" si="4"/>
        <v>F9</v>
      </c>
      <c r="M92" t="str">
        <f t="shared" ca="1" si="4"/>
        <v>F10</v>
      </c>
      <c r="N92" t="str">
        <f t="shared" ca="1" si="4"/>
        <v>F11</v>
      </c>
      <c r="O92">
        <f t="shared" ca="1" si="4"/>
        <v>0</v>
      </c>
      <c r="P92">
        <f t="shared" ca="1" si="4"/>
        <v>0</v>
      </c>
      <c r="Q92">
        <f t="shared" ca="1" si="4"/>
        <v>0</v>
      </c>
    </row>
    <row r="93" spans="1:17" hidden="1" x14ac:dyDescent="0.7">
      <c r="A93">
        <f t="shared" si="3"/>
        <v>61</v>
      </c>
      <c r="B93">
        <f t="shared" ca="1" si="4"/>
        <v>0</v>
      </c>
      <c r="C93">
        <f t="shared" ca="1" si="4"/>
        <v>0</v>
      </c>
      <c r="D93">
        <f t="shared" ca="1" si="4"/>
        <v>0</v>
      </c>
      <c r="E93">
        <f t="shared" ca="1" si="4"/>
        <v>0</v>
      </c>
      <c r="F93">
        <f t="shared" ca="1" si="4"/>
        <v>0</v>
      </c>
      <c r="G93">
        <f t="shared" ca="1" si="4"/>
        <v>0</v>
      </c>
      <c r="H93">
        <f t="shared" ca="1" si="4"/>
        <v>0</v>
      </c>
      <c r="I93">
        <f t="shared" ca="1" si="4"/>
        <v>0</v>
      </c>
      <c r="J93">
        <f t="shared" ca="1" si="4"/>
        <v>0</v>
      </c>
      <c r="K93">
        <f t="shared" ca="1" si="4"/>
        <v>0</v>
      </c>
      <c r="L93">
        <f t="shared" ca="1" si="4"/>
        <v>0</v>
      </c>
      <c r="M93">
        <f t="shared" ca="1" si="4"/>
        <v>0</v>
      </c>
      <c r="N93">
        <f t="shared" ca="1" si="4"/>
        <v>0</v>
      </c>
      <c r="O93">
        <f t="shared" ca="1" si="4"/>
        <v>0</v>
      </c>
      <c r="P93">
        <f t="shared" ca="1" si="4"/>
        <v>0</v>
      </c>
      <c r="Q93">
        <f t="shared" ca="1" si="4"/>
        <v>0</v>
      </c>
    </row>
    <row r="94" spans="1:17" hidden="1" x14ac:dyDescent="0.7">
      <c r="A94">
        <f t="shared" si="3"/>
        <v>75</v>
      </c>
      <c r="B94">
        <f t="shared" ca="1" si="4"/>
        <v>0</v>
      </c>
      <c r="C94">
        <f t="shared" ca="1" si="4"/>
        <v>0</v>
      </c>
      <c r="D94">
        <f t="shared" ca="1" si="4"/>
        <v>0</v>
      </c>
      <c r="E94">
        <f t="shared" ca="1" si="4"/>
        <v>0</v>
      </c>
      <c r="F94">
        <f t="shared" ca="1" si="4"/>
        <v>0</v>
      </c>
      <c r="G94">
        <f t="shared" ca="1" si="4"/>
        <v>0</v>
      </c>
      <c r="H94">
        <f t="shared" ca="1" si="4"/>
        <v>0</v>
      </c>
      <c r="I94">
        <f t="shared" ca="1" si="4"/>
        <v>0</v>
      </c>
      <c r="J94">
        <f t="shared" ca="1" si="4"/>
        <v>0</v>
      </c>
      <c r="K94">
        <f t="shared" ca="1" si="4"/>
        <v>0</v>
      </c>
      <c r="L94">
        <f t="shared" ca="1" si="4"/>
        <v>0</v>
      </c>
      <c r="M94">
        <f t="shared" ca="1" si="4"/>
        <v>0</v>
      </c>
      <c r="N94">
        <f t="shared" ca="1" si="4"/>
        <v>0</v>
      </c>
      <c r="O94">
        <f t="shared" ca="1" si="4"/>
        <v>0</v>
      </c>
      <c r="P94">
        <f t="shared" ca="1" si="4"/>
        <v>0</v>
      </c>
      <c r="Q94">
        <f t="shared" ca="1" si="4"/>
        <v>0</v>
      </c>
    </row>
  </sheetData>
  <autoFilter ref="A3:Q94">
    <filterColumn colId="0">
      <filters>
        <filter val="mod0"/>
        <filter val="original"/>
        <filter val="subst"/>
      </filters>
    </filterColumn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93"/>
  <sheetViews>
    <sheetView topLeftCell="J70" zoomScale="85" zoomScaleNormal="85" workbookViewId="0">
      <selection activeCell="K83" sqref="K83"/>
    </sheetView>
  </sheetViews>
  <sheetFormatPr defaultRowHeight="17.649999999999999" x14ac:dyDescent="0.7"/>
  <cols>
    <col min="2" max="2" width="29.125" bestFit="1" customWidth="1"/>
    <col min="3" max="3" width="43.125" customWidth="1"/>
    <col min="4" max="4" width="26.625" bestFit="1" customWidth="1"/>
    <col min="5" max="5" width="22.5" bestFit="1" customWidth="1"/>
    <col min="6" max="6" width="51.8125" customWidth="1"/>
    <col min="7" max="7" width="63" customWidth="1"/>
    <col min="8" max="11" width="29.125" bestFit="1" customWidth="1"/>
    <col min="12" max="13" width="20.9375" bestFit="1" customWidth="1"/>
    <col min="14" max="14" width="24.75" bestFit="1" customWidth="1"/>
    <col min="15" max="15" width="19.75" bestFit="1" customWidth="1"/>
  </cols>
  <sheetData>
    <row r="4" spans="1:18" x14ac:dyDescent="0.7">
      <c r="A4" t="s">
        <v>149</v>
      </c>
      <c r="B4" t="str">
        <f>IF(LEN(VersaPro!B5)=0,"",CHAR(10)&amp;"def subst *"&amp;VersaPro!B4&amp;" = *"&amp;VersaPro!B5&amp;" #")</f>
        <v xml:space="preserve">
def subst *Esc = *Esc #</v>
      </c>
      <c r="C4" t="str">
        <f>IF(LEN(VersaPro!C5)=0,"",CHAR(10)&amp;"def subst *"&amp;VersaPro!C4&amp;" = *"&amp;VersaPro!C5&amp;" #")</f>
        <v xml:space="preserve">
def subst *F1 = *LeftWindows #</v>
      </c>
      <c r="D4" t="str">
        <f>IF(LEN(VersaPro!D5)=0,"",CHAR(10)&amp;"def subst *"&amp;VersaPro!D4&amp;" = *"&amp;VersaPro!D5&amp;" #")</f>
        <v xml:space="preserve">
def subst *F2 = *Esc #</v>
      </c>
      <c r="E4" t="str">
        <f>IF(LEN(VersaPro!E5)=0,"",CHAR(10)&amp;"def subst *"&amp;VersaPro!E4&amp;" = *"&amp;VersaPro!E5&amp;" #")</f>
        <v xml:space="preserve">
def subst *F3 = *LeftControl #</v>
      </c>
      <c r="F4" t="str">
        <f>IF(LEN(VersaPro!F5)=0,"",CHAR(10)&amp;"def subst *"&amp;VersaPro!F4&amp;" = *"&amp;VersaPro!F5&amp;" #")</f>
        <v xml:space="preserve">
def subst *F4 = *LeftAlt #</v>
      </c>
      <c r="G4" t="str">
        <f>IF(LEN(VersaPro!G5)=0,"",CHAR(10)&amp;"def subst *"&amp;VersaPro!G4&amp;" = *"&amp;VersaPro!G5&amp;" #")</f>
        <v xml:space="preserve">
def subst *F5 = *BackSpace #</v>
      </c>
      <c r="H4" t="str">
        <f>IF(LEN(VersaPro!H5)=0,"",CHAR(10)&amp;"def subst *"&amp;VersaPro!H4&amp;" = *"&amp;VersaPro!H5&amp;" #")</f>
        <v xml:space="preserve">
def subst *F6 = *Delete #</v>
      </c>
      <c r="I4" t="str">
        <f>IF(LEN(VersaPro!I5)=0,"",CHAR(10)&amp;"def subst *"&amp;VersaPro!I4&amp;" = *"&amp;VersaPro!I5&amp;" #")</f>
        <v xml:space="preserve">
def subst *F7 = *CommercialAt #</v>
      </c>
      <c r="J4" t="str">
        <f>IF(LEN(VersaPro!J5)=0,"",CHAR(10)&amp;"def subst *"&amp;VersaPro!J4&amp;" = *"&amp;VersaPro!J5&amp;" #")</f>
        <v xml:space="preserve">
def subst *F8 = *CommercialAt #</v>
      </c>
      <c r="K4" t="str">
        <f>IF(LEN(VersaPro!K5)=0,"",CHAR(10)&amp;"def subst *"&amp;VersaPro!K4&amp;" = *"&amp;VersaPro!K5&amp;" #")</f>
        <v xml:space="preserve">
def subst *F9 = *CommercialAt #</v>
      </c>
      <c r="L4" t="str">
        <f>IF(LEN(VersaPro!L5)=0,"",CHAR(10)&amp;"def subst *"&amp;VersaPro!L4&amp;" = *"&amp;VersaPro!L5&amp;" #")</f>
        <v xml:space="preserve">
def subst *F10 = *Tab #</v>
      </c>
      <c r="M4" t="str">
        <f>IF(LEN(VersaPro!M5)=0,"",CHAR(10)&amp;"def subst *"&amp;VersaPro!M4&amp;" = *"&amp;VersaPro!M5&amp;" #")</f>
        <v xml:space="preserve">
def subst *F11 = *S-Tab #</v>
      </c>
      <c r="N4" t="str">
        <f>IF(LEN(VersaPro!N5)=0,"",CHAR(10)&amp;"def subst *"&amp;VersaPro!N4&amp;" = *"&amp;VersaPro!N5&amp;" #")</f>
        <v xml:space="preserve">
def subst *F12 = *RightAlt #</v>
      </c>
      <c r="O4" t="str">
        <f>IF(LEN(VersaPro!O5)=0,"",CHAR(10)&amp;"def subst *"&amp;VersaPro!O4&amp;" = *"&amp;VersaPro!O5&amp;" #")</f>
        <v xml:space="preserve">
def subst *Pause = *Pause #</v>
      </c>
      <c r="P4" t="str">
        <f>IF(LEN(VersaPro!P5)=0,"",CHAR(10)&amp;"def subst *"&amp;VersaPro!P4&amp;" = *"&amp;VersaPro!P5&amp;" #")</f>
        <v xml:space="preserve">
def subst *Insert = *Insert #</v>
      </c>
      <c r="Q4" t="str">
        <f>IF(LEN(VersaPro!Q5)=0,"",CHAR(10)&amp;"def subst *"&amp;VersaPro!Q4&amp;" = *"&amp;VersaPro!Q5&amp;" #")</f>
        <v xml:space="preserve">
def subst *Delete = *Delete #</v>
      </c>
      <c r="R4" t="str">
        <f>IF(LEN(VersaPro!R5)=0,"",CHAR(10)&amp;"def subst *"&amp;VersaPro!R4&amp;" = *"&amp;VersaPro!R5&amp;" #")</f>
        <v/>
      </c>
    </row>
    <row r="5" spans="1:18" x14ac:dyDescent="0.7">
      <c r="A5" t="s">
        <v>150</v>
      </c>
    </row>
    <row r="6" spans="1:18" x14ac:dyDescent="0.7">
      <c r="A6" t="s">
        <v>151</v>
      </c>
      <c r="B6" t="str">
        <f>IF(LEN(VersaPro!B6)=0,"",CHAR(10)&amp;"mod "&amp;VersaPro!B6&amp;" += "&amp;VersaPro!B4&amp;" #")</f>
        <v/>
      </c>
      <c r="C6" t="str">
        <f>IF(LEN(VersaPro!C6)=0,"",CHAR(10)&amp;"mod "&amp;VersaPro!C6&amp;" += "&amp;VersaPro!C4&amp;" #")</f>
        <v xml:space="preserve">
mod Windows += F1 #</v>
      </c>
      <c r="D6" t="str">
        <f>IF(LEN(VersaPro!D6)=0,"",CHAR(10)&amp;"mod "&amp;VersaPro!D6&amp;" += "&amp;VersaPro!D4&amp;" #")</f>
        <v/>
      </c>
      <c r="E6" t="str">
        <f>IF(LEN(VersaPro!E6)=0,"",CHAR(10)&amp;"mod "&amp;VersaPro!E6&amp;" += "&amp;VersaPro!E4&amp;" #")</f>
        <v xml:space="preserve">
mod Ctrl += F3 #</v>
      </c>
      <c r="F6" t="str">
        <f>IF(LEN(VersaPro!F6)=0,"",CHAR(10)&amp;"mod "&amp;VersaPro!F6&amp;" += "&amp;VersaPro!F4&amp;" #")</f>
        <v xml:space="preserve">
mod Alt += F4 #</v>
      </c>
      <c r="G6" t="str">
        <f>IF(LEN(VersaPro!G6)=0,"",CHAR(10)&amp;"mod "&amp;VersaPro!G6&amp;" += "&amp;VersaPro!G4&amp;" #")</f>
        <v/>
      </c>
      <c r="H6" t="str">
        <f>IF(LEN(VersaPro!H6)=0,"",CHAR(10)&amp;"mod "&amp;VersaPro!H6&amp;" += "&amp;VersaPro!H4&amp;" #")</f>
        <v/>
      </c>
      <c r="I6" t="str">
        <f>IF(LEN(VersaPro!I6)=0,"",CHAR(10)&amp;"mod "&amp;VersaPro!I6&amp;" += "&amp;VersaPro!I4&amp;" #")</f>
        <v/>
      </c>
      <c r="J6" t="str">
        <f>IF(LEN(VersaPro!J6)=0,"",CHAR(10)&amp;"mod "&amp;VersaPro!J6&amp;" += "&amp;VersaPro!J4&amp;" #")</f>
        <v/>
      </c>
      <c r="K6" t="str">
        <f>IF(LEN(VersaPro!K6)=0,"",CHAR(10)&amp;"mod "&amp;VersaPro!K6&amp;" += "&amp;VersaPro!K4&amp;" #")</f>
        <v/>
      </c>
      <c r="L6" t="str">
        <f>IF(LEN(VersaPro!L6)=0,"",CHAR(10)&amp;"mod "&amp;VersaPro!L6&amp;" += "&amp;VersaPro!L4&amp;" #")</f>
        <v/>
      </c>
      <c r="M6" t="str">
        <f>IF(LEN(VersaPro!M6)=0,"",CHAR(10)&amp;"mod "&amp;VersaPro!M6&amp;" += "&amp;VersaPro!M4&amp;" #")</f>
        <v/>
      </c>
      <c r="N6" t="str">
        <f>IF(LEN(VersaPro!N6)=0,"",CHAR(10)&amp;"mod "&amp;VersaPro!N6&amp;" += "&amp;VersaPro!N4&amp;" #")</f>
        <v xml:space="preserve">
mod Alt += F12 #</v>
      </c>
      <c r="O6" t="str">
        <f>IF(LEN(VersaPro!O6)=0,"",CHAR(10)&amp;"mod "&amp;VersaPro!O6&amp;" += "&amp;VersaPro!O4&amp;" #")</f>
        <v/>
      </c>
      <c r="P6" t="str">
        <f>IF(LEN(VersaPro!P6)=0,"",CHAR(10)&amp;"mod "&amp;VersaPro!P6&amp;" += "&amp;VersaPro!P4&amp;" #")</f>
        <v/>
      </c>
      <c r="Q6" t="str">
        <f>IF(LEN(VersaPro!Q6)=0,"",CHAR(10)&amp;"mod "&amp;VersaPro!Q6&amp;" += "&amp;VersaPro!Q4&amp;" #")</f>
        <v/>
      </c>
      <c r="R6" t="str">
        <f>IF(LEN(VersaPro!R6)=0,"",CHAR(10)&amp;"mod "&amp;VersaPro!R6&amp;" += "&amp;VersaPro!R4&amp;" #")</f>
        <v/>
      </c>
    </row>
    <row r="7" spans="1:18" x14ac:dyDescent="0.7">
      <c r="A7" t="s">
        <v>151</v>
      </c>
      <c r="B7" t="str">
        <f>IF(LEN(VersaPro!B7)=0,"",CHAR(10)&amp;"mod "&amp;VersaPro!B7&amp;" = !!"&amp;VersaPro!B4&amp;" #")</f>
        <v/>
      </c>
      <c r="C7" t="str">
        <f>IF(LEN(VersaPro!C7)=0,"",CHAR(10)&amp;"mod "&amp;VersaPro!C7&amp;" = !!"&amp;VersaPro!C4&amp;" #")</f>
        <v/>
      </c>
      <c r="D7" t="str">
        <f>IF(LEN(VersaPro!D7)=0,"",CHAR(10)&amp;"mod "&amp;VersaPro!D7&amp;" = !!"&amp;VersaPro!D4&amp;" #")</f>
        <v/>
      </c>
      <c r="E7" t="str">
        <f>IF(LEN(VersaPro!E7)=0,"",CHAR(10)&amp;"mod "&amp;VersaPro!E7&amp;" = !!"&amp;VersaPro!E4&amp;" #")</f>
        <v/>
      </c>
      <c r="F7" t="str">
        <f>IF(LEN(VersaPro!F7)=0,"",CHAR(10)&amp;"mod "&amp;VersaPro!F7&amp;" = !!"&amp;VersaPro!F4&amp;" #")</f>
        <v/>
      </c>
      <c r="G7" t="str">
        <f>IF(LEN(VersaPro!G7)=0,"",CHAR(10)&amp;"mod "&amp;VersaPro!G7&amp;" = !!"&amp;VersaPro!G4&amp;" #")</f>
        <v/>
      </c>
      <c r="H7" t="str">
        <f>IF(LEN(VersaPro!H7)=0,"",CHAR(10)&amp;"mod "&amp;VersaPro!H7&amp;" = !!"&amp;VersaPro!H4&amp;" #")</f>
        <v/>
      </c>
      <c r="I7" t="str">
        <f>IF(LEN(VersaPro!I7)=0,"",CHAR(10)&amp;"mod "&amp;VersaPro!I7&amp;" = !!"&amp;VersaPro!I4&amp;" #")</f>
        <v/>
      </c>
      <c r="J7" t="str">
        <f>IF(LEN(VersaPro!J7)=0,"",CHAR(10)&amp;"mod "&amp;VersaPro!J7&amp;" = !!"&amp;VersaPro!J4&amp;" #")</f>
        <v/>
      </c>
      <c r="K7" t="str">
        <f>IF(LEN(VersaPro!K7)=0,"",CHAR(10)&amp;"mod "&amp;VersaPro!K7&amp;" = !!"&amp;VersaPro!K4&amp;" #")</f>
        <v/>
      </c>
      <c r="L7" t="str">
        <f>IF(LEN(VersaPro!L7)=0,"",CHAR(10)&amp;"mod "&amp;VersaPro!L7&amp;" = !!"&amp;VersaPro!L4&amp;" #")</f>
        <v/>
      </c>
      <c r="M7" t="str">
        <f>IF(LEN(VersaPro!M7)=0,"",CHAR(10)&amp;"mod "&amp;VersaPro!M7&amp;" = !!"&amp;VersaPro!M4&amp;" #")</f>
        <v/>
      </c>
      <c r="N7" t="str">
        <f>IF(LEN(VersaPro!N7)=0,"",CHAR(10)&amp;"mod "&amp;VersaPro!N7&amp;" = !!"&amp;VersaPro!N4&amp;" #")</f>
        <v/>
      </c>
      <c r="O7" t="str">
        <f>IF(LEN(VersaPro!O7)=0,"",CHAR(10)&amp;"mod "&amp;VersaPro!O7&amp;" = !!"&amp;VersaPro!O4&amp;" #")</f>
        <v/>
      </c>
      <c r="P7" t="str">
        <f>IF(LEN(VersaPro!P7)=0,"",CHAR(10)&amp;"mod "&amp;VersaPro!P7&amp;" = !!"&amp;VersaPro!P4&amp;" #")</f>
        <v/>
      </c>
      <c r="Q7" t="str">
        <f>IF(LEN(VersaPro!Q7)=0,"",CHAR(10)&amp;"mod "&amp;VersaPro!Q7&amp;" = !!"&amp;VersaPro!Q4&amp;" #")</f>
        <v/>
      </c>
      <c r="R7" t="str">
        <f>IF(LEN(VersaPro!R7)=0,"",CHAR(10)&amp;"mod "&amp;VersaPro!R7&amp;" = !!"&amp;VersaPro!R4&amp;" #")</f>
        <v/>
      </c>
    </row>
    <row r="8" spans="1:18" x14ac:dyDescent="0.7">
      <c r="A8" t="s">
        <v>142</v>
      </c>
    </row>
    <row r="9" spans="1:18" x14ac:dyDescent="0.7">
      <c r="A9" t="s">
        <v>142</v>
      </c>
    </row>
    <row r="10" spans="1:18" x14ac:dyDescent="0.7">
      <c r="A10" t="s">
        <v>142</v>
      </c>
    </row>
    <row r="11" spans="1:18" x14ac:dyDescent="0.7">
      <c r="A11" t="s">
        <v>142</v>
      </c>
    </row>
    <row r="12" spans="1:18" x14ac:dyDescent="0.7">
      <c r="A12" t="s">
        <v>142</v>
      </c>
    </row>
    <row r="13" spans="1:18" x14ac:dyDescent="0.7">
      <c r="A13" t="s">
        <v>142</v>
      </c>
    </row>
    <row r="14" spans="1:18" x14ac:dyDescent="0.7">
      <c r="A14" t="s">
        <v>142</v>
      </c>
    </row>
    <row r="15" spans="1:18" x14ac:dyDescent="0.7">
      <c r="A15" t="s">
        <v>142</v>
      </c>
    </row>
    <row r="16" spans="1:18" x14ac:dyDescent="0.7">
      <c r="A16" t="s">
        <v>142</v>
      </c>
    </row>
    <row r="17" spans="1:18" x14ac:dyDescent="0.7">
      <c r="A17" t="s">
        <v>142</v>
      </c>
    </row>
    <row r="18" spans="1:18" x14ac:dyDescent="0.7">
      <c r="A18" t="s">
        <v>149</v>
      </c>
      <c r="B18" t="str">
        <f>IF(LEN(VersaPro!B19)=0,"",CHAR(10)&amp;"def subst *"&amp;VersaPro!B18&amp;" = *"&amp;VersaPro!B19&amp;" #")</f>
        <v xml:space="preserve">
def subst *半角/全角 = *半角/全角 #</v>
      </c>
      <c r="C18" t="str">
        <f>IF(LEN(VersaPro!C19)=0,"",CHAR(10)&amp;"def subst *"&amp;VersaPro!C18&amp;" = *"&amp;VersaPro!C19&amp;" #")</f>
        <v xml:space="preserve">
def subst *_1 = *LeftShift #</v>
      </c>
      <c r="D18" t="str">
        <f>IF(LEN(VersaPro!D19)=0,"",CHAR(10)&amp;"def subst *"&amp;VersaPro!D18&amp;" = *"&amp;VersaPro!D19&amp;" #")</f>
        <v xml:space="preserve">
def subst *_2 = *Colon #</v>
      </c>
      <c r="E18" t="str">
        <f>IF(LEN(VersaPro!E19)=0,"",CHAR(10)&amp;"def subst *"&amp;VersaPro!E18&amp;" = *"&amp;VersaPro!E19&amp;" #")</f>
        <v xml:space="preserve">
def subst *_3 = *Comma #</v>
      </c>
      <c r="F18" t="str">
        <f>IF(LEN(VersaPro!F19)=0,"",CHAR(10)&amp;"def subst *"&amp;VersaPro!F18&amp;" = *"&amp;VersaPro!F19&amp;" #")</f>
        <v xml:space="preserve">
def subst *_4 = *。 #</v>
      </c>
      <c r="G18" t="str">
        <f>IF(LEN(VersaPro!G19)=0,"",CHAR(10)&amp;"def subst *"&amp;VersaPro!G18&amp;" = *"&amp;VersaPro!G19&amp;" #")</f>
        <v xml:space="preserve">
def subst *_5 = *P #</v>
      </c>
      <c r="H18" t="str">
        <f>IF(LEN(VersaPro!H19)=0,"",CHAR(10)&amp;"def subst *"&amp;VersaPro!H18&amp;" = *"&amp;VersaPro!H19&amp;" #")</f>
        <v xml:space="preserve">
def subst *_6 = *Y #</v>
      </c>
      <c r="I18" t="str">
        <f>IF(LEN(VersaPro!I19)=0,"",CHAR(10)&amp;"def subst *"&amp;VersaPro!I18&amp;" = *"&amp;VersaPro!I19&amp;" #")</f>
        <v xml:space="preserve">
def subst *_7 = *F #</v>
      </c>
      <c r="J18" t="str">
        <f>IF(LEN(VersaPro!J19)=0,"",CHAR(10)&amp;"def subst *"&amp;VersaPro!J18&amp;" = *"&amp;VersaPro!J19&amp;" #")</f>
        <v xml:space="preserve">
def subst *_8 = *G #</v>
      </c>
      <c r="K18" t="str">
        <f>IF(LEN(VersaPro!K19)=0,"",CHAR(10)&amp;"def subst *"&amp;VersaPro!K18&amp;" = *"&amp;VersaPro!K19&amp;" #")</f>
        <v xml:space="preserve">
def subst *_9 = *C #</v>
      </c>
      <c r="L18" t="str">
        <f>IF(LEN(VersaPro!L19)=0,"",CHAR(10)&amp;"def subst *"&amp;VersaPro!L18&amp;" = *"&amp;VersaPro!L19&amp;" #")</f>
        <v xml:space="preserve">
def subst *_0 = *R #</v>
      </c>
      <c r="M18" t="str">
        <f>IF(LEN(VersaPro!M19)=0,"",CHAR(10)&amp;"def subst *"&amp;VersaPro!M18&amp;" = *"&amp;VersaPro!M19&amp;" #")</f>
        <v xml:space="preserve">
def subst *HyphenMinus = *L #</v>
      </c>
      <c r="N18" t="str">
        <f>IF(LEN(VersaPro!N19)=0,"",CHAR(10)&amp;"def subst *"&amp;VersaPro!N18&amp;" = *"&amp;VersaPro!N19&amp;" #")</f>
        <v xml:space="preserve">
def subst *CircumflexAccent = *／ #</v>
      </c>
      <c r="O18" t="str">
        <f>IF(LEN(VersaPro!O19)=0,"",CHAR(10)&amp;"def subst *"&amp;VersaPro!O18&amp;" = *"&amp;VersaPro!O19&amp;" #")</f>
        <v xml:space="preserve">
def subst *YenSign = *YenSign #</v>
      </c>
      <c r="P18" t="str">
        <f>IF(LEN(VersaPro!P19)=0,"",CHAR(10)&amp;"def subst *"&amp;VersaPro!P18&amp;" = *"&amp;VersaPro!P19&amp;" #")</f>
        <v xml:space="preserve">
def subst *BackSpace = *_4 #</v>
      </c>
      <c r="Q18" t="str">
        <f>IF(LEN(VersaPro!Q19)=0,"",CHAR(10)&amp;"def subst *"&amp;VersaPro!Q18&amp;" = *"&amp;VersaPro!Q19&amp;" #")</f>
        <v/>
      </c>
      <c r="R18" t="str">
        <f>IF(LEN(VersaPro!R19)=0,"",CHAR(10)&amp;"def subst *"&amp;VersaPro!R18&amp;" = *"&amp;VersaPro!R19&amp;" #")</f>
        <v/>
      </c>
    </row>
    <row r="19" spans="1:18" x14ac:dyDescent="0.7">
      <c r="A19" t="s">
        <v>150</v>
      </c>
    </row>
    <row r="20" spans="1:18" x14ac:dyDescent="0.7">
      <c r="A20" t="s">
        <v>151</v>
      </c>
      <c r="B20" t="str">
        <f>IF(LEN(VersaPro!B20)=0,"",CHAR(10)&amp;"mod "&amp;VersaPro!B20&amp;" += "&amp;VersaPro!B18&amp;" #")</f>
        <v/>
      </c>
      <c r="C20" t="str">
        <f>IF(LEN(VersaPro!C20)=0,"",CHAR(10)&amp;"mod "&amp;VersaPro!C20&amp;" += "&amp;VersaPro!C18&amp;" #")</f>
        <v/>
      </c>
      <c r="D20" t="str">
        <f>IF(LEN(VersaPro!D20)=0,"",CHAR(10)&amp;"mod "&amp;VersaPro!D20&amp;" += "&amp;VersaPro!D18&amp;" #")</f>
        <v/>
      </c>
      <c r="E20" t="str">
        <f>IF(LEN(VersaPro!E20)=0,"",CHAR(10)&amp;"mod "&amp;VersaPro!E20&amp;" += "&amp;VersaPro!E18&amp;" #")</f>
        <v/>
      </c>
      <c r="F20" t="str">
        <f>IF(LEN(VersaPro!F20)=0,"",CHAR(10)&amp;"mod "&amp;VersaPro!F20&amp;" += "&amp;VersaPro!F18&amp;" #")</f>
        <v/>
      </c>
      <c r="G20" t="str">
        <f>IF(LEN(VersaPro!G20)=0,"",CHAR(10)&amp;"mod "&amp;VersaPro!G20&amp;" += "&amp;VersaPro!G18&amp;" #")</f>
        <v/>
      </c>
      <c r="H20" t="str">
        <f>IF(LEN(VersaPro!H20)=0,"",CHAR(10)&amp;"mod "&amp;VersaPro!H20&amp;" += "&amp;VersaPro!H18&amp;" #")</f>
        <v/>
      </c>
      <c r="I20" t="str">
        <f>IF(LEN(VersaPro!I20)=0,"",CHAR(10)&amp;"mod "&amp;VersaPro!I20&amp;" += "&amp;VersaPro!I18&amp;" #")</f>
        <v/>
      </c>
      <c r="J20" t="str">
        <f>IF(LEN(VersaPro!J20)=0,"",CHAR(10)&amp;"mod "&amp;VersaPro!J20&amp;" += "&amp;VersaPro!J18&amp;" #")</f>
        <v/>
      </c>
      <c r="K20" t="str">
        <f>IF(LEN(VersaPro!K20)=0,"",CHAR(10)&amp;"mod "&amp;VersaPro!K20&amp;" += "&amp;VersaPro!K18&amp;" #")</f>
        <v/>
      </c>
      <c r="L20" t="str">
        <f>IF(LEN(VersaPro!L20)=0,"",CHAR(10)&amp;"mod "&amp;VersaPro!L20&amp;" += "&amp;VersaPro!L18&amp;" #")</f>
        <v/>
      </c>
      <c r="M20" t="str">
        <f>IF(LEN(VersaPro!M20)=0,"",CHAR(10)&amp;"mod "&amp;VersaPro!M20&amp;" += "&amp;VersaPro!M18&amp;" #")</f>
        <v/>
      </c>
      <c r="N20" t="str">
        <f>IF(LEN(VersaPro!N20)=0,"",CHAR(10)&amp;"mod "&amp;VersaPro!N20&amp;" += "&amp;VersaPro!N18&amp;" #")</f>
        <v/>
      </c>
      <c r="O20" t="str">
        <f>IF(LEN(VersaPro!O20)=0,"",CHAR(10)&amp;"mod "&amp;VersaPro!O20&amp;" += "&amp;VersaPro!O18&amp;" #")</f>
        <v/>
      </c>
      <c r="P20" t="str">
        <f>IF(LEN(VersaPro!P20)=0,"",CHAR(10)&amp;"mod "&amp;VersaPro!P20&amp;" += "&amp;VersaPro!P18&amp;" #")</f>
        <v/>
      </c>
      <c r="Q20" t="str">
        <f>IF(LEN(VersaPro!Q20)=0,"",CHAR(10)&amp;"mod "&amp;VersaPro!Q20&amp;" += "&amp;VersaPro!Q18&amp;" #")</f>
        <v/>
      </c>
      <c r="R20" t="str">
        <f>IF(LEN(VersaPro!R20)=0,"",CHAR(10)&amp;"mod "&amp;VersaPro!R20&amp;" += "&amp;VersaPro!R18&amp;" #")</f>
        <v/>
      </c>
    </row>
    <row r="21" spans="1:18" x14ac:dyDescent="0.7">
      <c r="A21" t="s">
        <v>151</v>
      </c>
      <c r="B21" t="str">
        <f>IF(LEN(VersaPro!B21)=0,"",CHAR(10)&amp;"mod "&amp;VersaPro!B21&amp;" = !!"&amp;VersaPro!B18&amp;" #")</f>
        <v/>
      </c>
      <c r="C21" t="str">
        <f>IF(LEN(VersaPro!C21)=0,"",CHAR(10)&amp;"mod "&amp;VersaPro!C21&amp;" = !!"&amp;VersaPro!C18&amp;" #")</f>
        <v xml:space="preserve">
mod mod4 = !!_1 #</v>
      </c>
      <c r="D21" t="str">
        <f>IF(LEN(VersaPro!D21)=0,"",CHAR(10)&amp;"mod "&amp;VersaPro!D21&amp;" = !!"&amp;VersaPro!D18&amp;" #")</f>
        <v/>
      </c>
      <c r="E21" t="str">
        <f>IF(LEN(VersaPro!E21)=0,"",CHAR(10)&amp;"mod "&amp;VersaPro!E21&amp;" = !!"&amp;VersaPro!E18&amp;" #")</f>
        <v/>
      </c>
      <c r="F21" t="str">
        <f>IF(LEN(VersaPro!F21)=0,"",CHAR(10)&amp;"mod "&amp;VersaPro!F21&amp;" = !!"&amp;VersaPro!F18&amp;" #")</f>
        <v/>
      </c>
      <c r="G21" t="str">
        <f>IF(LEN(VersaPro!G21)=0,"",CHAR(10)&amp;"mod "&amp;VersaPro!G21&amp;" = !!"&amp;VersaPro!G18&amp;" #")</f>
        <v/>
      </c>
      <c r="H21" t="str">
        <f>IF(LEN(VersaPro!H21)=0,"",CHAR(10)&amp;"mod "&amp;VersaPro!H21&amp;" = !!"&amp;VersaPro!H18&amp;" #")</f>
        <v/>
      </c>
      <c r="I21" t="str">
        <f>IF(LEN(VersaPro!I21)=0,"",CHAR(10)&amp;"mod "&amp;VersaPro!I21&amp;" = !!"&amp;VersaPro!I18&amp;" #")</f>
        <v/>
      </c>
      <c r="J21" t="str">
        <f>IF(LEN(VersaPro!J21)=0,"",CHAR(10)&amp;"mod "&amp;VersaPro!J21&amp;" = !!"&amp;VersaPro!J18&amp;" #")</f>
        <v/>
      </c>
      <c r="K21" t="str">
        <f>IF(LEN(VersaPro!K21)=0,"",CHAR(10)&amp;"mod "&amp;VersaPro!K21&amp;" = !!"&amp;VersaPro!K18&amp;" #")</f>
        <v/>
      </c>
      <c r="L21" t="str">
        <f>IF(LEN(VersaPro!L21)=0,"",CHAR(10)&amp;"mod "&amp;VersaPro!L21&amp;" = !!"&amp;VersaPro!L18&amp;" #")</f>
        <v/>
      </c>
      <c r="M21" t="str">
        <f>IF(LEN(VersaPro!M21)=0,"",CHAR(10)&amp;"mod "&amp;VersaPro!M21&amp;" = !!"&amp;VersaPro!M18&amp;" #")</f>
        <v/>
      </c>
      <c r="N21" t="str">
        <f>IF(LEN(VersaPro!N21)=0,"",CHAR(10)&amp;"mod "&amp;VersaPro!N21&amp;" = !!"&amp;VersaPro!N18&amp;" #")</f>
        <v/>
      </c>
      <c r="O21" t="str">
        <f>IF(LEN(VersaPro!O21)=0,"",CHAR(10)&amp;"mod "&amp;VersaPro!O21&amp;" = !!"&amp;VersaPro!O18&amp;" #")</f>
        <v/>
      </c>
      <c r="P21" t="str">
        <f>IF(LEN(VersaPro!P21)=0,"",CHAR(10)&amp;"mod "&amp;VersaPro!P21&amp;" = !!"&amp;VersaPro!P18&amp;" #")</f>
        <v/>
      </c>
      <c r="Q21" t="str">
        <f>IF(LEN(VersaPro!Q21)=0,"",CHAR(10)&amp;"mod "&amp;VersaPro!Q21&amp;" = !!"&amp;VersaPro!Q18&amp;" #")</f>
        <v/>
      </c>
      <c r="R21" t="str">
        <f>IF(LEN(VersaPro!R21)=0,"",CHAR(10)&amp;"mod "&amp;VersaPro!R21&amp;" = !!"&amp;VersaPro!R18&amp;" #")</f>
        <v/>
      </c>
    </row>
    <row r="22" spans="1:18" x14ac:dyDescent="0.7">
      <c r="A22" t="s">
        <v>142</v>
      </c>
    </row>
    <row r="23" spans="1:18" x14ac:dyDescent="0.7">
      <c r="A23" t="s">
        <v>142</v>
      </c>
    </row>
    <row r="24" spans="1:18" x14ac:dyDescent="0.7">
      <c r="A24" t="s">
        <v>142</v>
      </c>
    </row>
    <row r="25" spans="1:18" x14ac:dyDescent="0.7">
      <c r="A25" t="s">
        <v>142</v>
      </c>
    </row>
    <row r="26" spans="1:18" x14ac:dyDescent="0.7">
      <c r="A26" t="s">
        <v>142</v>
      </c>
    </row>
    <row r="27" spans="1:18" x14ac:dyDescent="0.7">
      <c r="A27" t="s">
        <v>142</v>
      </c>
    </row>
    <row r="28" spans="1:18" x14ac:dyDescent="0.7">
      <c r="A28" t="s">
        <v>142</v>
      </c>
    </row>
    <row r="29" spans="1:18" x14ac:dyDescent="0.7">
      <c r="A29" t="s">
        <v>142</v>
      </c>
    </row>
    <row r="30" spans="1:18" x14ac:dyDescent="0.7">
      <c r="A30" t="s">
        <v>142</v>
      </c>
    </row>
    <row r="31" spans="1:18" x14ac:dyDescent="0.7">
      <c r="A31" t="s">
        <v>142</v>
      </c>
    </row>
    <row r="32" spans="1:18" x14ac:dyDescent="0.7">
      <c r="A32" t="s">
        <v>149</v>
      </c>
      <c r="B32" t="str">
        <f>IF(LEN(VersaPro!B33)=0,"",CHAR(10)&amp;"def subst *"&amp;VersaPro!B32&amp;" = *"&amp;VersaPro!B33&amp;" #")</f>
        <v xml:space="preserve">
def subst *Tab = *Space #</v>
      </c>
      <c r="C32" t="str">
        <f>IF(LEN(VersaPro!C33)=0,"",CHAR(10)&amp;"def subst *"&amp;VersaPro!C32&amp;" = *"&amp;VersaPro!C33&amp;" #")</f>
        <v xml:space="preserve">
def subst *Q = *Minus #</v>
      </c>
      <c r="D32" t="str">
        <f>IF(LEN(VersaPro!D33)=0,"",CHAR(10)&amp;"def subst *"&amp;VersaPro!D32&amp;" = *"&amp;VersaPro!D33&amp;" #")</f>
        <v xml:space="preserve">
def subst *W = *A #</v>
      </c>
      <c r="E32" t="str">
        <f>IF(LEN(VersaPro!E33)=0,"",CHAR(10)&amp;"def subst *"&amp;VersaPro!E32&amp;" = *"&amp;VersaPro!E33&amp;" #")</f>
        <v xml:space="preserve">
def subst *E = *O #</v>
      </c>
      <c r="F32" t="str">
        <f>IF(LEN(VersaPro!F33)=0,"",CHAR(10)&amp;"def subst *"&amp;VersaPro!F32&amp;" = *"&amp;VersaPro!F33&amp;" #")</f>
        <v xml:space="preserve">
def subst *R = *E #</v>
      </c>
      <c r="G32" t="str">
        <f>IF(LEN(VersaPro!G33)=0,"",CHAR(10)&amp;"def subst *"&amp;VersaPro!G32&amp;" = *"&amp;VersaPro!G33&amp;" #")</f>
        <v xml:space="preserve">
def subst *T = *U #</v>
      </c>
      <c r="H32" t="str">
        <f>IF(LEN(VersaPro!H33)=0,"",CHAR(10)&amp;"def subst *"&amp;VersaPro!H32&amp;" = *"&amp;VersaPro!H33&amp;" #")</f>
        <v xml:space="preserve">
def subst *Y = *I #</v>
      </c>
      <c r="I32" t="str">
        <f>IF(LEN(VersaPro!I33)=0,"",CHAR(10)&amp;"def subst *"&amp;VersaPro!I32&amp;" = *"&amp;VersaPro!I33&amp;" #")</f>
        <v xml:space="preserve">
def subst *U = *D #</v>
      </c>
      <c r="J32" t="str">
        <f>IF(LEN(VersaPro!J33)=0,"",CHAR(10)&amp;"def subst *"&amp;VersaPro!J32&amp;" = *"&amp;VersaPro!J33&amp;" #")</f>
        <v xml:space="preserve">
def subst *I = *H #</v>
      </c>
      <c r="K32" t="str">
        <f>IF(LEN(VersaPro!K33)=0,"",CHAR(10)&amp;"def subst *"&amp;VersaPro!K32&amp;" = *"&amp;VersaPro!K33&amp;" #")</f>
        <v xml:space="preserve">
def subst *O = *T #</v>
      </c>
      <c r="L32" t="str">
        <f>IF(LEN(VersaPro!L33)=0,"",CHAR(10)&amp;"def subst *"&amp;VersaPro!L32&amp;" = *"&amp;VersaPro!L33&amp;" #")</f>
        <v xml:space="preserve">
def subst *P = *N #</v>
      </c>
      <c r="M32" t="str">
        <f>IF(LEN(VersaPro!M33)=0,"",CHAR(10)&amp;"def subst *"&amp;VersaPro!M32&amp;" = *"&amp;VersaPro!M33&amp;" #")</f>
        <v xml:space="preserve">
def subst *CommercialAt = *S #</v>
      </c>
      <c r="N32" t="str">
        <f>IF(LEN(VersaPro!N33)=0,"",CHAR(10)&amp;"def subst *"&amp;VersaPro!N32&amp;" = *"&amp;VersaPro!N33&amp;" #")</f>
        <v xml:space="preserve">
def subst *LeftSquareBracket = *HyphenMinus #</v>
      </c>
      <c r="O32" t="str">
        <f>IF(LEN(VersaPro!O33)=0,"",CHAR(10)&amp;"def subst *"&amp;VersaPro!O32&amp;" = *"&amp;VersaPro!O33&amp;" #")</f>
        <v xml:space="preserve">
def subst *Enter = *Enter #</v>
      </c>
      <c r="P32" t="str">
        <f>IF(LEN(VersaPro!P33)=0,"",CHAR(10)&amp;"def subst *"&amp;VersaPro!P32&amp;" = *"&amp;VersaPro!P33&amp;" #")</f>
        <v/>
      </c>
      <c r="Q32" t="str">
        <f>IF(LEN(VersaPro!Q33)=0,"",CHAR(10)&amp;"def subst *"&amp;VersaPro!Q32&amp;" = *"&amp;VersaPro!Q33&amp;" #")</f>
        <v/>
      </c>
      <c r="R32" t="str">
        <f>IF(LEN(VersaPro!R33)=0,"",CHAR(10)&amp;"def subst *"&amp;VersaPro!R32&amp;" = *"&amp;VersaPro!R33&amp;" #")</f>
        <v/>
      </c>
    </row>
    <row r="33" spans="1:18" x14ac:dyDescent="0.7">
      <c r="A33" t="s">
        <v>150</v>
      </c>
    </row>
    <row r="34" spans="1:18" x14ac:dyDescent="0.7">
      <c r="A34" t="s">
        <v>151</v>
      </c>
      <c r="B34" t="str">
        <f>IF(LEN(VersaPro!B34)=0,"",CHAR(10)&amp;"mod "&amp;VersaPro!B34&amp;" += "&amp;VersaPro!B32&amp;" #")</f>
        <v/>
      </c>
      <c r="C34" t="str">
        <f>IF(LEN(VersaPro!C34)=0,"",CHAR(10)&amp;"mod "&amp;VersaPro!C34&amp;" += "&amp;VersaPro!C32&amp;" #")</f>
        <v/>
      </c>
      <c r="D34" t="str">
        <f>IF(LEN(VersaPro!D34)=0,"",CHAR(10)&amp;"mod "&amp;VersaPro!D34&amp;" += "&amp;VersaPro!D32&amp;" #")</f>
        <v/>
      </c>
      <c r="E34" t="str">
        <f>IF(LEN(VersaPro!E34)=0,"",CHAR(10)&amp;"mod "&amp;VersaPro!E34&amp;" += "&amp;VersaPro!E32&amp;" #")</f>
        <v/>
      </c>
      <c r="F34" t="str">
        <f>IF(LEN(VersaPro!F34)=0,"",CHAR(10)&amp;"mod "&amp;VersaPro!F34&amp;" += "&amp;VersaPro!F32&amp;" #")</f>
        <v/>
      </c>
      <c r="G34" t="str">
        <f>IF(LEN(VersaPro!G34)=0,"",CHAR(10)&amp;"mod "&amp;VersaPro!G34&amp;" += "&amp;VersaPro!G32&amp;" #")</f>
        <v/>
      </c>
      <c r="H34" t="str">
        <f>IF(LEN(VersaPro!H34)=0,"",CHAR(10)&amp;"mod "&amp;VersaPro!H34&amp;" += "&amp;VersaPro!H32&amp;" #")</f>
        <v/>
      </c>
      <c r="I34" t="str">
        <f>IF(LEN(VersaPro!I34)=0,"",CHAR(10)&amp;"mod "&amp;VersaPro!I34&amp;" += "&amp;VersaPro!I32&amp;" #")</f>
        <v/>
      </c>
      <c r="J34" t="str">
        <f>IF(LEN(VersaPro!J34)=0,"",CHAR(10)&amp;"mod "&amp;VersaPro!J34&amp;" += "&amp;VersaPro!J32&amp;" #")</f>
        <v/>
      </c>
      <c r="K34" t="str">
        <f>IF(LEN(VersaPro!K34)=0,"",CHAR(10)&amp;"mod "&amp;VersaPro!K34&amp;" += "&amp;VersaPro!K32&amp;" #")</f>
        <v/>
      </c>
      <c r="L34" t="str">
        <f>IF(LEN(VersaPro!L34)=0,"",CHAR(10)&amp;"mod "&amp;VersaPro!L34&amp;" += "&amp;VersaPro!L32&amp;" #")</f>
        <v/>
      </c>
      <c r="M34" t="str">
        <f>IF(LEN(VersaPro!M34)=0,"",CHAR(10)&amp;"mod "&amp;VersaPro!M34&amp;" += "&amp;VersaPro!M32&amp;" #")</f>
        <v/>
      </c>
      <c r="N34" t="str">
        <f>IF(LEN(VersaPro!N34)=0,"",CHAR(10)&amp;"mod "&amp;VersaPro!N34&amp;" += "&amp;VersaPro!N32&amp;" #")</f>
        <v/>
      </c>
      <c r="O34" t="str">
        <f>IF(LEN(VersaPro!O34)=0,"",CHAR(10)&amp;"mod "&amp;VersaPro!O34&amp;" += "&amp;VersaPro!O32&amp;" #")</f>
        <v/>
      </c>
      <c r="P34" t="str">
        <f>IF(LEN(VersaPro!P34)=0,"",CHAR(10)&amp;"mod "&amp;VersaPro!P34&amp;" += "&amp;VersaPro!P32&amp;" #")</f>
        <v/>
      </c>
      <c r="Q34" t="str">
        <f>IF(LEN(VersaPro!Q34)=0,"",CHAR(10)&amp;"mod "&amp;VersaPro!Q34&amp;" += "&amp;VersaPro!Q32&amp;" #")</f>
        <v/>
      </c>
      <c r="R34" t="str">
        <f>IF(LEN(VersaPro!R34)=0,"",CHAR(10)&amp;"mod "&amp;VersaPro!R34&amp;" += "&amp;VersaPro!R32&amp;" #")</f>
        <v/>
      </c>
    </row>
    <row r="35" spans="1:18" x14ac:dyDescent="0.7">
      <c r="A35" t="s">
        <v>151</v>
      </c>
      <c r="B35" t="str">
        <f>IF(LEN(VersaPro!B35)=0,"",CHAR(10)&amp;"mod "&amp;VersaPro!B35&amp;" = !!"&amp;VersaPro!B32&amp;" #")</f>
        <v xml:space="preserve">
mod mod7 = !!Tab #</v>
      </c>
      <c r="C35" t="str">
        <f>IF(LEN(VersaPro!C35)=0,"",CHAR(10)&amp;"mod "&amp;VersaPro!C35&amp;" = !!"&amp;VersaPro!C32&amp;" #")</f>
        <v xml:space="preserve">
mod mod8 = !!Q #</v>
      </c>
      <c r="D35" t="str">
        <f>IF(LEN(VersaPro!D35)=0,"",CHAR(10)&amp;"mod "&amp;VersaPro!D35&amp;" = !!"&amp;VersaPro!D32&amp;" #")</f>
        <v/>
      </c>
      <c r="E35" t="str">
        <f>IF(LEN(VersaPro!E35)=0,"",CHAR(10)&amp;"mod "&amp;VersaPro!E35&amp;" = !!"&amp;VersaPro!E32&amp;" #")</f>
        <v/>
      </c>
      <c r="F35" t="str">
        <f>IF(LEN(VersaPro!F35)=0,"",CHAR(10)&amp;"mod "&amp;VersaPro!F35&amp;" = !!"&amp;VersaPro!F32&amp;" #")</f>
        <v/>
      </c>
      <c r="G35" t="str">
        <f>IF(LEN(VersaPro!G35)=0,"",CHAR(10)&amp;"mod "&amp;VersaPro!G35&amp;" = !!"&amp;VersaPro!G32&amp;" #")</f>
        <v/>
      </c>
      <c r="H35" t="str">
        <f>IF(LEN(VersaPro!H35)=0,"",CHAR(10)&amp;"mod "&amp;VersaPro!H35&amp;" = !!"&amp;VersaPro!H32&amp;" #")</f>
        <v/>
      </c>
      <c r="I35" t="str">
        <f>IF(LEN(VersaPro!I35)=0,"",CHAR(10)&amp;"mod "&amp;VersaPro!I35&amp;" = !!"&amp;VersaPro!I32&amp;" #")</f>
        <v/>
      </c>
      <c r="J35" t="str">
        <f>IF(LEN(VersaPro!J35)=0,"",CHAR(10)&amp;"mod "&amp;VersaPro!J35&amp;" = !!"&amp;VersaPro!J32&amp;" #")</f>
        <v/>
      </c>
      <c r="K35" t="str">
        <f>IF(LEN(VersaPro!K35)=0,"",CHAR(10)&amp;"mod "&amp;VersaPro!K35&amp;" = !!"&amp;VersaPro!K32&amp;" #")</f>
        <v/>
      </c>
      <c r="L35" t="str">
        <f>IF(LEN(VersaPro!L35)=0,"",CHAR(10)&amp;"mod "&amp;VersaPro!L35&amp;" = !!"&amp;VersaPro!L32&amp;" #")</f>
        <v/>
      </c>
      <c r="M35" t="str">
        <f>IF(LEN(VersaPro!M35)=0,"",CHAR(10)&amp;"mod "&amp;VersaPro!M35&amp;" = !!"&amp;VersaPro!M32&amp;" #")</f>
        <v/>
      </c>
      <c r="N35" t="str">
        <f>IF(LEN(VersaPro!N35)=0,"",CHAR(10)&amp;"mod "&amp;VersaPro!N35&amp;" = !!"&amp;VersaPro!N32&amp;" #")</f>
        <v/>
      </c>
      <c r="O35" t="str">
        <f>IF(LEN(VersaPro!O35)=0,"",CHAR(10)&amp;"mod "&amp;VersaPro!O35&amp;" = !!"&amp;VersaPro!O32&amp;" #")</f>
        <v/>
      </c>
      <c r="P35" t="str">
        <f>IF(LEN(VersaPro!P35)=0,"",CHAR(10)&amp;"mod "&amp;VersaPro!P35&amp;" = !!"&amp;VersaPro!P32&amp;" #")</f>
        <v/>
      </c>
      <c r="Q35" t="str">
        <f>IF(LEN(VersaPro!Q35)=0,"",CHAR(10)&amp;"mod "&amp;VersaPro!Q35&amp;" = !!"&amp;VersaPro!Q32&amp;" #")</f>
        <v/>
      </c>
      <c r="R35" t="str">
        <f>IF(LEN(VersaPro!R35)=0,"",CHAR(10)&amp;"mod "&amp;VersaPro!R35&amp;" = !!"&amp;VersaPro!R32&amp;" #")</f>
        <v/>
      </c>
    </row>
    <row r="36" spans="1:18" x14ac:dyDescent="0.7">
      <c r="A36" t="s">
        <v>142</v>
      </c>
    </row>
    <row r="37" spans="1:18" x14ac:dyDescent="0.7">
      <c r="A37" t="s">
        <v>142</v>
      </c>
    </row>
    <row r="38" spans="1:18" x14ac:dyDescent="0.7">
      <c r="A38" t="s">
        <v>142</v>
      </c>
    </row>
    <row r="39" spans="1:18" x14ac:dyDescent="0.7">
      <c r="A39" t="s">
        <v>142</v>
      </c>
    </row>
    <row r="40" spans="1:18" x14ac:dyDescent="0.7">
      <c r="A40" t="s">
        <v>142</v>
      </c>
    </row>
    <row r="41" spans="1:18" x14ac:dyDescent="0.7">
      <c r="A41" t="s">
        <v>142</v>
      </c>
    </row>
    <row r="42" spans="1:18" x14ac:dyDescent="0.7">
      <c r="A42" t="s">
        <v>142</v>
      </c>
    </row>
    <row r="43" spans="1:18" x14ac:dyDescent="0.7">
      <c r="A43" t="s">
        <v>142</v>
      </c>
    </row>
    <row r="44" spans="1:18" x14ac:dyDescent="0.7">
      <c r="A44" t="s">
        <v>142</v>
      </c>
    </row>
    <row r="45" spans="1:18" x14ac:dyDescent="0.7">
      <c r="A45" t="s">
        <v>142</v>
      </c>
    </row>
    <row r="46" spans="1:18" x14ac:dyDescent="0.7">
      <c r="A46" t="s">
        <v>149</v>
      </c>
      <c r="B46" t="str">
        <f>IF(LEN(VersaPro!B47)=0,"",CHAR(10)&amp;"def subst *"&amp;VersaPro!B46&amp;" = *"&amp;VersaPro!B47&amp;" #")</f>
        <v xml:space="preserve">
def subst *英数 = *英数 #</v>
      </c>
      <c r="C46" t="str">
        <f>IF(LEN(VersaPro!C47)=0,"",CHAR(10)&amp;"def subst *"&amp;VersaPro!C46&amp;" = *"&amp;VersaPro!C47&amp;" #")</f>
        <v xml:space="preserve">
def subst *A = *Tab #</v>
      </c>
      <c r="D46" t="str">
        <f>IF(LEN(VersaPro!D47)=0,"",CHAR(10)&amp;"def subst *"&amp;VersaPro!D46&amp;" = *"&amp;VersaPro!D47&amp;" #")</f>
        <v xml:space="preserve">
def subst *S = *Semicolon #</v>
      </c>
      <c r="E46" t="str">
        <f>IF(LEN(VersaPro!E47)=0,"",CHAR(10)&amp;"def subst *"&amp;VersaPro!E46&amp;" = *"&amp;VersaPro!E47&amp;" #")</f>
        <v xml:space="preserve">
def subst *D = *Q #</v>
      </c>
      <c r="F46" t="str">
        <f>IF(LEN(VersaPro!F47)=0,"",CHAR(10)&amp;"def subst *"&amp;VersaPro!F46&amp;" = *"&amp;VersaPro!F47&amp;" #")</f>
        <v xml:space="preserve">
def subst *F = *J #</v>
      </c>
      <c r="G46" t="str">
        <f>IF(LEN(VersaPro!G47)=0,"",CHAR(10)&amp;"def subst *"&amp;VersaPro!G46&amp;" = *"&amp;VersaPro!G47&amp;" #")</f>
        <v xml:space="preserve">
def subst *G = *K #</v>
      </c>
      <c r="H46" t="str">
        <f>IF(LEN(VersaPro!H47)=0,"",CHAR(10)&amp;"def subst *"&amp;VersaPro!H46&amp;" = *"&amp;VersaPro!H47&amp;" #")</f>
        <v xml:space="preserve">
def subst *H = *X #</v>
      </c>
      <c r="I46" t="str">
        <f>IF(LEN(VersaPro!I47)=0,"",CHAR(10)&amp;"def subst *"&amp;VersaPro!I46&amp;" = *"&amp;VersaPro!I47&amp;" #")</f>
        <v xml:space="preserve">
def subst *J = *B #</v>
      </c>
      <c r="J46" t="str">
        <f>IF(LEN(VersaPro!J47)=0,"",CHAR(10)&amp;"def subst *"&amp;VersaPro!J46&amp;" = *"&amp;VersaPro!J47&amp;" #")</f>
        <v xml:space="preserve">
def subst *K = *M #</v>
      </c>
      <c r="K46" t="str">
        <f>IF(LEN(VersaPro!K47)=0,"",CHAR(10)&amp;"def subst *"&amp;VersaPro!K46&amp;" = *"&amp;VersaPro!K47&amp;" #")</f>
        <v xml:space="preserve">
def subst *L = *W #</v>
      </c>
      <c r="L46" t="str">
        <f>IF(LEN(VersaPro!L47)=0,"",CHAR(10)&amp;"def subst *"&amp;VersaPro!L46&amp;" = *"&amp;VersaPro!L47&amp;" #")</f>
        <v xml:space="preserve">
def subst *Semicolon = *V #</v>
      </c>
      <c r="M46" t="str">
        <f>IF(LEN(VersaPro!M47)=0,"",CHAR(10)&amp;"def subst *"&amp;VersaPro!M46&amp;" = *"&amp;VersaPro!M47&amp;" #")</f>
        <v xml:space="preserve">
def subst *Colon = *Z #</v>
      </c>
      <c r="N46" t="str">
        <f>IF(LEN(VersaPro!N47)=0,"",CHAR(10)&amp;"def subst *"&amp;VersaPro!N46&amp;" = *"&amp;VersaPro!N47&amp;" #")</f>
        <v xml:space="preserve">
def subst *RightSquareBracket = *YenSign #</v>
      </c>
      <c r="O46" t="str">
        <f>IF(LEN(VersaPro!O47)=0,"",CHAR(10)&amp;"def subst *"&amp;VersaPro!O46&amp;" = *"&amp;VersaPro!O47&amp;" #")</f>
        <v/>
      </c>
      <c r="P46" t="str">
        <f>IF(LEN(VersaPro!P47)=0,"",CHAR(10)&amp;"def subst *"&amp;VersaPro!P46&amp;" = *"&amp;VersaPro!P47&amp;" #")</f>
        <v/>
      </c>
      <c r="Q46" t="str">
        <f>IF(LEN(VersaPro!Q47)=0,"",CHAR(10)&amp;"def subst *"&amp;VersaPro!Q46&amp;" = *"&amp;VersaPro!Q47&amp;" #")</f>
        <v/>
      </c>
      <c r="R46" t="str">
        <f>IF(LEN(VersaPro!R47)=0,"",CHAR(10)&amp;"def subst *"&amp;VersaPro!R46&amp;" = *"&amp;VersaPro!R47&amp;" #")</f>
        <v/>
      </c>
    </row>
    <row r="47" spans="1:18" x14ac:dyDescent="0.7">
      <c r="A47" t="s">
        <v>150</v>
      </c>
    </row>
    <row r="48" spans="1:18" x14ac:dyDescent="0.7">
      <c r="A48" t="s">
        <v>151</v>
      </c>
      <c r="B48" t="str">
        <f>IF(LEN(VersaPro!B48)=0,"",CHAR(10)&amp;"mod "&amp;VersaPro!B48&amp;" += "&amp;VersaPro!B46&amp;" #")</f>
        <v/>
      </c>
      <c r="C48" t="str">
        <f>IF(LEN(VersaPro!C48)=0,"",CHAR(10)&amp;"mod "&amp;VersaPro!C48&amp;" += "&amp;VersaPro!C46&amp;" #")</f>
        <v/>
      </c>
      <c r="D48" t="str">
        <f>IF(LEN(VersaPro!D48)=0,"",CHAR(10)&amp;"mod "&amp;VersaPro!D48&amp;" += "&amp;VersaPro!D46&amp;" #")</f>
        <v/>
      </c>
      <c r="E48" t="str">
        <f>IF(LEN(VersaPro!E48)=0,"",CHAR(10)&amp;"mod "&amp;VersaPro!E48&amp;" += "&amp;VersaPro!E46&amp;" #")</f>
        <v/>
      </c>
      <c r="F48" t="str">
        <f>IF(LEN(VersaPro!F48)=0,"",CHAR(10)&amp;"mod "&amp;VersaPro!F48&amp;" += "&amp;VersaPro!F46&amp;" #")</f>
        <v/>
      </c>
      <c r="G48" t="str">
        <f>IF(LEN(VersaPro!G48)=0,"",CHAR(10)&amp;"mod "&amp;VersaPro!G48&amp;" += "&amp;VersaPro!G46&amp;" #")</f>
        <v/>
      </c>
      <c r="H48" t="str">
        <f>IF(LEN(VersaPro!H48)=0,"",CHAR(10)&amp;"mod "&amp;VersaPro!H48&amp;" += "&amp;VersaPro!H46&amp;" #")</f>
        <v/>
      </c>
      <c r="I48" t="str">
        <f>IF(LEN(VersaPro!I48)=0,"",CHAR(10)&amp;"mod "&amp;VersaPro!I48&amp;" += "&amp;VersaPro!I46&amp;" #")</f>
        <v/>
      </c>
      <c r="J48" t="str">
        <f>IF(LEN(VersaPro!J48)=0,"",CHAR(10)&amp;"mod "&amp;VersaPro!J48&amp;" += "&amp;VersaPro!J46&amp;" #")</f>
        <v/>
      </c>
      <c r="K48" t="str">
        <f>IF(LEN(VersaPro!K48)=0,"",CHAR(10)&amp;"mod "&amp;VersaPro!K48&amp;" += "&amp;VersaPro!K46&amp;" #")</f>
        <v/>
      </c>
      <c r="L48" t="str">
        <f>IF(LEN(VersaPro!L48)=0,"",CHAR(10)&amp;"mod "&amp;VersaPro!L48&amp;" += "&amp;VersaPro!L46&amp;" #")</f>
        <v/>
      </c>
      <c r="M48" t="str">
        <f>IF(LEN(VersaPro!M48)=0,"",CHAR(10)&amp;"mod "&amp;VersaPro!M48&amp;" += "&amp;VersaPro!M46&amp;" #")</f>
        <v/>
      </c>
      <c r="N48" t="str">
        <f>IF(LEN(VersaPro!N48)=0,"",CHAR(10)&amp;"mod "&amp;VersaPro!N48&amp;" += "&amp;VersaPro!N46&amp;" #")</f>
        <v/>
      </c>
      <c r="O48" t="str">
        <f>IF(LEN(VersaPro!O48)=0,"",CHAR(10)&amp;"mod "&amp;VersaPro!O48&amp;" += "&amp;VersaPro!O46&amp;" #")</f>
        <v/>
      </c>
      <c r="P48" t="str">
        <f>IF(LEN(VersaPro!P48)=0,"",CHAR(10)&amp;"mod "&amp;VersaPro!P48&amp;" += "&amp;VersaPro!P46&amp;" #")</f>
        <v/>
      </c>
      <c r="Q48" t="str">
        <f>IF(LEN(VersaPro!Q48)=0,"",CHAR(10)&amp;"mod "&amp;VersaPro!Q48&amp;" += "&amp;VersaPro!Q46&amp;" #")</f>
        <v/>
      </c>
      <c r="R48" t="str">
        <f>IF(LEN(VersaPro!R48)=0,"",CHAR(10)&amp;"mod "&amp;VersaPro!R48&amp;" += "&amp;VersaPro!R46&amp;" #")</f>
        <v/>
      </c>
    </row>
    <row r="49" spans="1:18" x14ac:dyDescent="0.7">
      <c r="A49" t="s">
        <v>151</v>
      </c>
      <c r="B49" t="str">
        <f>IF(LEN(VersaPro!B49)=0,"",CHAR(10)&amp;"mod "&amp;VersaPro!B49&amp;" = !!"&amp;VersaPro!B46&amp;" #")</f>
        <v/>
      </c>
      <c r="C49" t="str">
        <f>IF(LEN(VersaPro!C49)=0,"",CHAR(10)&amp;"mod "&amp;VersaPro!C49&amp;" = !!"&amp;VersaPro!C46&amp;" #")</f>
        <v xml:space="preserve">
mod mod9 = !!A #</v>
      </c>
      <c r="D49" t="str">
        <f>IF(LEN(VersaPro!D49)=0,"",CHAR(10)&amp;"mod "&amp;VersaPro!D49&amp;" = !!"&amp;VersaPro!D46&amp;" #")</f>
        <v/>
      </c>
      <c r="E49" t="str">
        <f>IF(LEN(VersaPro!E49)=0,"",CHAR(10)&amp;"mod "&amp;VersaPro!E49&amp;" = !!"&amp;VersaPro!E46&amp;" #")</f>
        <v/>
      </c>
      <c r="F49" t="str">
        <f>IF(LEN(VersaPro!F49)=0,"",CHAR(10)&amp;"mod "&amp;VersaPro!F49&amp;" = !!"&amp;VersaPro!F46&amp;" #")</f>
        <v/>
      </c>
      <c r="G49" t="str">
        <f>IF(LEN(VersaPro!G49)=0,"",CHAR(10)&amp;"mod "&amp;VersaPro!G49&amp;" = !!"&amp;VersaPro!G46&amp;" #")</f>
        <v/>
      </c>
      <c r="H49" t="str">
        <f>IF(LEN(VersaPro!H49)=0,"",CHAR(10)&amp;"mod "&amp;VersaPro!H49&amp;" = !!"&amp;VersaPro!H46&amp;" #")</f>
        <v/>
      </c>
      <c r="I49" t="str">
        <f>IF(LEN(VersaPro!I49)=0,"",CHAR(10)&amp;"mod "&amp;VersaPro!I49&amp;" = !!"&amp;VersaPro!I46&amp;" #")</f>
        <v/>
      </c>
      <c r="J49" t="str">
        <f>IF(LEN(VersaPro!J49)=0,"",CHAR(10)&amp;"mod "&amp;VersaPro!J49&amp;" = !!"&amp;VersaPro!J46&amp;" #")</f>
        <v/>
      </c>
      <c r="K49" t="str">
        <f>IF(LEN(VersaPro!K49)=0,"",CHAR(10)&amp;"mod "&amp;VersaPro!K49&amp;" = !!"&amp;VersaPro!K46&amp;" #")</f>
        <v/>
      </c>
      <c r="L49" t="str">
        <f>IF(LEN(VersaPro!L49)=0,"",CHAR(10)&amp;"mod "&amp;VersaPro!L49&amp;" = !!"&amp;VersaPro!L46&amp;" #")</f>
        <v/>
      </c>
      <c r="M49" t="str">
        <f>IF(LEN(VersaPro!M49)=0,"",CHAR(10)&amp;"mod "&amp;VersaPro!M49&amp;" = !!"&amp;VersaPro!M46&amp;" #")</f>
        <v/>
      </c>
      <c r="N49" t="str">
        <f>IF(LEN(VersaPro!N49)=0,"",CHAR(10)&amp;"mod "&amp;VersaPro!N49&amp;" = !!"&amp;VersaPro!N46&amp;" #")</f>
        <v/>
      </c>
      <c r="O49" t="str">
        <f>IF(LEN(VersaPro!O49)=0,"",CHAR(10)&amp;"mod "&amp;VersaPro!O49&amp;" = !!"&amp;VersaPro!O46&amp;" #")</f>
        <v/>
      </c>
      <c r="P49" t="str">
        <f>IF(LEN(VersaPro!P49)=0,"",CHAR(10)&amp;"mod "&amp;VersaPro!P49&amp;" = !!"&amp;VersaPro!P46&amp;" #")</f>
        <v/>
      </c>
      <c r="Q49" t="str">
        <f>IF(LEN(VersaPro!Q49)=0,"",CHAR(10)&amp;"mod "&amp;VersaPro!Q49&amp;" = !!"&amp;VersaPro!Q46&amp;" #")</f>
        <v/>
      </c>
      <c r="R49" t="str">
        <f>IF(LEN(VersaPro!R49)=0,"",CHAR(10)&amp;"mod "&amp;VersaPro!R49&amp;" = !!"&amp;VersaPro!R46&amp;" #")</f>
        <v/>
      </c>
    </row>
    <row r="50" spans="1:18" x14ac:dyDescent="0.7">
      <c r="A50" t="s">
        <v>142</v>
      </c>
    </row>
    <row r="51" spans="1:18" x14ac:dyDescent="0.7">
      <c r="A51" t="s">
        <v>142</v>
      </c>
    </row>
    <row r="52" spans="1:18" x14ac:dyDescent="0.7">
      <c r="A52" t="s">
        <v>142</v>
      </c>
    </row>
    <row r="53" spans="1:18" x14ac:dyDescent="0.7">
      <c r="A53" t="s">
        <v>142</v>
      </c>
    </row>
    <row r="54" spans="1:18" x14ac:dyDescent="0.7">
      <c r="A54" t="s">
        <v>142</v>
      </c>
    </row>
    <row r="55" spans="1:18" x14ac:dyDescent="0.7">
      <c r="A55" t="s">
        <v>142</v>
      </c>
    </row>
    <row r="56" spans="1:18" x14ac:dyDescent="0.7">
      <c r="A56" t="s">
        <v>142</v>
      </c>
    </row>
    <row r="57" spans="1:18" x14ac:dyDescent="0.7">
      <c r="A57" t="s">
        <v>142</v>
      </c>
    </row>
    <row r="58" spans="1:18" x14ac:dyDescent="0.7">
      <c r="A58" t="s">
        <v>142</v>
      </c>
    </row>
    <row r="59" spans="1:18" x14ac:dyDescent="0.7">
      <c r="A59" t="s">
        <v>142</v>
      </c>
    </row>
    <row r="60" spans="1:18" x14ac:dyDescent="0.7">
      <c r="A60" t="s">
        <v>149</v>
      </c>
      <c r="B60" t="str">
        <f>IF(LEN(VersaPro!B61)=0,"",CHAR(10)&amp;"def subst *"&amp;VersaPro!B60&amp;" = *"&amp;VersaPro!B61&amp;" #")</f>
        <v xml:space="preserve">
def subst *LeftShift = *LeftShift #</v>
      </c>
      <c r="C60" t="str">
        <f>IF(LEN(VersaPro!C61)=0,"",CHAR(10)&amp;"def subst *"&amp;VersaPro!C60&amp;" = *"&amp;VersaPro!C61&amp;" #")</f>
        <v/>
      </c>
      <c r="D60" t="str">
        <f>IF(LEN(VersaPro!D61)=0,"",CHAR(10)&amp;"def subst *"&amp;VersaPro!D60&amp;" = *"&amp;VersaPro!D61&amp;" #")</f>
        <v xml:space="preserve">
def subst *Z = *Z #</v>
      </c>
      <c r="E60" t="str">
        <f>IF(LEN(VersaPro!E61)=0,"",CHAR(10)&amp;"def subst *"&amp;VersaPro!E60&amp;" = *"&amp;VersaPro!E61&amp;" #")</f>
        <v xml:space="preserve">
def subst *X = *_3 #</v>
      </c>
      <c r="F60" t="str">
        <f>IF(LEN(VersaPro!F61)=0,"",CHAR(10)&amp;"def subst *"&amp;VersaPro!F60&amp;" = *"&amp;VersaPro!F61&amp;" #")</f>
        <v xml:space="preserve">
def subst *C = *Delete #</v>
      </c>
      <c r="G60" t="str">
        <f>IF(LEN(VersaPro!G61)=0,"",CHAR(10)&amp;"def subst *"&amp;VersaPro!G60&amp;" = *"&amp;VersaPro!G61&amp;" #")</f>
        <v xml:space="preserve">
def subst *V = *Space #</v>
      </c>
      <c r="H60" t="str">
        <f>IF(LEN(VersaPro!H61)=0,"",CHAR(10)&amp;"def subst *"&amp;VersaPro!H60&amp;" = *"&amp;VersaPro!H61&amp;" #")</f>
        <v xml:space="preserve">
def subst *B = *Enter #</v>
      </c>
      <c r="I60" t="str">
        <f>IF(LEN(VersaPro!I61)=0,"",CHAR(10)&amp;"def subst *"&amp;VersaPro!I60&amp;" = *"&amp;VersaPro!I61&amp;" #")</f>
        <v xml:space="preserve">
def subst *N = *LShift #</v>
      </c>
      <c r="J60" t="str">
        <f>IF(LEN(VersaPro!J61)=0,"",CHAR(10)&amp;"def subst *"&amp;VersaPro!J60&amp;" = *"&amp;VersaPro!J61&amp;" #")</f>
        <v xml:space="preserve">
def subst *M = *BackSpace #</v>
      </c>
      <c r="K60" t="str">
        <f>IF(LEN(VersaPro!K61)=0,"",CHAR(10)&amp;"def subst *"&amp;VersaPro!K60&amp;" = *"&amp;VersaPro!K61&amp;" #")</f>
        <v xml:space="preserve">
def subst *Comma = *F9 #</v>
      </c>
      <c r="L60" t="str">
        <f>IF(LEN(VersaPro!L61)=0,"",CHAR(10)&amp;"def subst *"&amp;VersaPro!L60&amp;" = *"&amp;VersaPro!L61&amp;" #")</f>
        <v xml:space="preserve">
def subst *FullStop = *F10 #</v>
      </c>
      <c r="M60" t="str">
        <f>IF(LEN(VersaPro!M61)=0,"",CHAR(10)&amp;"def subst *"&amp;VersaPro!M60&amp;" = *"&amp;VersaPro!M61&amp;" #")</f>
        <v xml:space="preserve">
def subst *Solidus = *F11 #</v>
      </c>
      <c r="N60" t="str">
        <f>IF(LEN(VersaPro!N61)=0,"",CHAR(10)&amp;"def subst *"&amp;VersaPro!N60&amp;" = *"&amp;VersaPro!N61&amp;" #")</f>
        <v xml:space="preserve">
def subst *ReverseSolidus = *F12 #</v>
      </c>
      <c r="O60" t="str">
        <f>IF(LEN(VersaPro!O61)=0,"",CHAR(10)&amp;"def subst *"&amp;VersaPro!O60&amp;" = *"&amp;VersaPro!O61&amp;" #")</f>
        <v xml:space="preserve">
def subst *↑ = *↑ #</v>
      </c>
      <c r="P60" t="str">
        <f>IF(LEN(VersaPro!P61)=0,"",CHAR(10)&amp;"def subst *"&amp;VersaPro!P60&amp;" = *"&amp;VersaPro!P61&amp;" #")</f>
        <v xml:space="preserve">
def subst *RightShift = *RightShift #</v>
      </c>
      <c r="Q60" t="str">
        <f>IF(LEN(VersaPro!Q61)=0,"",CHAR(10)&amp;"def subst *"&amp;VersaPro!Q60&amp;" = *"&amp;VersaPro!Q61&amp;" #")</f>
        <v/>
      </c>
      <c r="R60" t="str">
        <f>IF(LEN(VersaPro!R61)=0,"",CHAR(10)&amp;"def subst *"&amp;VersaPro!R60&amp;" = *"&amp;VersaPro!R61&amp;" #")</f>
        <v/>
      </c>
    </row>
    <row r="61" spans="1:18" x14ac:dyDescent="0.7">
      <c r="A61" t="s">
        <v>150</v>
      </c>
    </row>
    <row r="62" spans="1:18" x14ac:dyDescent="0.7">
      <c r="A62" t="s">
        <v>151</v>
      </c>
      <c r="B62" t="str">
        <f>IF(LEN(VersaPro!B62)=0,"",CHAR(10)&amp;"mod "&amp;VersaPro!B62&amp;" += "&amp;VersaPro!B60&amp;" #")</f>
        <v/>
      </c>
      <c r="C62" t="str">
        <f>IF(LEN(VersaPro!C62)=0,"",CHAR(10)&amp;"mod "&amp;VersaPro!C62&amp;" += "&amp;VersaPro!C60&amp;" #")</f>
        <v/>
      </c>
      <c r="D62" t="str">
        <f>IF(LEN(VersaPro!D62)=0,"",CHAR(10)&amp;"mod "&amp;VersaPro!D62&amp;" += "&amp;VersaPro!D60&amp;" #")</f>
        <v/>
      </c>
      <c r="E62" t="str">
        <f>IF(LEN(VersaPro!E62)=0,"",CHAR(10)&amp;"mod "&amp;VersaPro!E62&amp;" += "&amp;VersaPro!E60&amp;" #")</f>
        <v/>
      </c>
      <c r="F62" t="str">
        <f>IF(LEN(VersaPro!F62)=0,"",CHAR(10)&amp;"mod "&amp;VersaPro!F62&amp;" += "&amp;VersaPro!F60&amp;" #")</f>
        <v/>
      </c>
      <c r="G62" t="str">
        <f>IF(LEN(VersaPro!G62)=0,"",CHAR(10)&amp;"mod "&amp;VersaPro!G62&amp;" += "&amp;VersaPro!G60&amp;" #")</f>
        <v/>
      </c>
      <c r="H62" t="str">
        <f>IF(LEN(VersaPro!H62)=0,"",CHAR(10)&amp;"mod "&amp;VersaPro!H62&amp;" += "&amp;VersaPro!H60&amp;" #")</f>
        <v/>
      </c>
      <c r="I62" t="str">
        <f>IF(LEN(VersaPro!I62)=0,"",CHAR(10)&amp;"mod "&amp;VersaPro!I62&amp;" += "&amp;VersaPro!I60&amp;" #")</f>
        <v xml:space="preserve">
mod Shift += N #</v>
      </c>
      <c r="J62" t="str">
        <f>IF(LEN(VersaPro!J62)=0,"",CHAR(10)&amp;"mod "&amp;VersaPro!J62&amp;" += "&amp;VersaPro!J60&amp;" #")</f>
        <v/>
      </c>
      <c r="K62" t="str">
        <f>IF(LEN(VersaPro!K62)=0,"",CHAR(10)&amp;"mod "&amp;VersaPro!K62&amp;" += "&amp;VersaPro!K60&amp;" #")</f>
        <v/>
      </c>
      <c r="L62" t="str">
        <f>IF(LEN(VersaPro!L62)=0,"",CHAR(10)&amp;"mod "&amp;VersaPro!L62&amp;" += "&amp;VersaPro!L60&amp;" #")</f>
        <v/>
      </c>
      <c r="M62" t="str">
        <f>IF(LEN(VersaPro!M62)=0,"",CHAR(10)&amp;"mod "&amp;VersaPro!M62&amp;" += "&amp;VersaPro!M60&amp;" #")</f>
        <v/>
      </c>
      <c r="N62" t="str">
        <f>IF(LEN(VersaPro!N62)=0,"",CHAR(10)&amp;"mod "&amp;VersaPro!N62&amp;" += "&amp;VersaPro!N60&amp;" #")</f>
        <v/>
      </c>
      <c r="O62" t="str">
        <f>IF(LEN(VersaPro!O62)=0,"",CHAR(10)&amp;"mod "&amp;VersaPro!O62&amp;" += "&amp;VersaPro!O60&amp;" #")</f>
        <v/>
      </c>
      <c r="P62" t="str">
        <f>IF(LEN(VersaPro!P62)=0,"",CHAR(10)&amp;"mod "&amp;VersaPro!P62&amp;" += "&amp;VersaPro!P60&amp;" #")</f>
        <v/>
      </c>
      <c r="Q62" t="str">
        <f>IF(LEN(VersaPro!Q62)=0,"",CHAR(10)&amp;"mod "&amp;VersaPro!Q62&amp;" += "&amp;VersaPro!Q60&amp;" #")</f>
        <v/>
      </c>
      <c r="R62" t="str">
        <f>IF(LEN(VersaPro!R62)=0,"",CHAR(10)&amp;"mod "&amp;VersaPro!R62&amp;" += "&amp;VersaPro!R60&amp;" #")</f>
        <v/>
      </c>
    </row>
    <row r="63" spans="1:18" x14ac:dyDescent="0.7">
      <c r="A63" t="s">
        <v>151</v>
      </c>
      <c r="B63" t="str">
        <f>IF(LEN(VersaPro!B63)=0,"",CHAR(10)&amp;"mod "&amp;VersaPro!B63&amp;" = !!"&amp;VersaPro!B60&amp;" #")</f>
        <v/>
      </c>
      <c r="C63" t="str">
        <f>IF(LEN(VersaPro!C63)=0,"",CHAR(10)&amp;"mod "&amp;VersaPro!C63&amp;" = !!"&amp;VersaPro!C60&amp;" #")</f>
        <v/>
      </c>
      <c r="D63" t="str">
        <f>IF(LEN(VersaPro!D63)=0,"",CHAR(10)&amp;"mod "&amp;VersaPro!D63&amp;" = !!"&amp;VersaPro!D60&amp;" #")</f>
        <v/>
      </c>
      <c r="E63" t="str">
        <f>IF(LEN(VersaPro!E63)=0,"",CHAR(10)&amp;"mod "&amp;VersaPro!E63&amp;" = !!"&amp;VersaPro!E60&amp;" #")</f>
        <v xml:space="preserve">
mod mod3 = !!X #</v>
      </c>
      <c r="F63" t="str">
        <f>IF(LEN(VersaPro!F63)=0,"",CHAR(10)&amp;"mod "&amp;VersaPro!F63&amp;" = !!"&amp;VersaPro!F60&amp;" #")</f>
        <v xml:space="preserve">
mod mod6 = !!C #</v>
      </c>
      <c r="G63" t="str">
        <f>IF(LEN(VersaPro!G63)=0,"",CHAR(10)&amp;"mod "&amp;VersaPro!G63&amp;" = !!"&amp;VersaPro!G60&amp;" #")</f>
        <v xml:space="preserve">
mod mod1 = !!V #</v>
      </c>
      <c r="H63" t="str">
        <f>IF(LEN(VersaPro!H63)=0,"",CHAR(10)&amp;"mod "&amp;VersaPro!H63&amp;" = !!"&amp;VersaPro!H60&amp;" #")</f>
        <v xml:space="preserve">
mod mod0 = !!B #</v>
      </c>
      <c r="I63" t="str">
        <f>IF(LEN(VersaPro!I63)=0,"",CHAR(10)&amp;"mod "&amp;VersaPro!I63&amp;" = !!"&amp;VersaPro!I60&amp;" #")</f>
        <v/>
      </c>
      <c r="J63" t="str">
        <f>IF(LEN(VersaPro!J63)=0,"",CHAR(10)&amp;"mod "&amp;VersaPro!J63&amp;" = !!"&amp;VersaPro!J60&amp;" #")</f>
        <v xml:space="preserve">
mod mod2 = !!M #</v>
      </c>
      <c r="K63" t="str">
        <f>IF(LEN(VersaPro!K63)=0,"",CHAR(10)&amp;"mod "&amp;VersaPro!K63&amp;" = !!"&amp;VersaPro!K60&amp;" #")</f>
        <v/>
      </c>
      <c r="L63" t="str">
        <f>IF(LEN(VersaPro!L63)=0,"",CHAR(10)&amp;"mod "&amp;VersaPro!L63&amp;" = !!"&amp;VersaPro!L60&amp;" #")</f>
        <v/>
      </c>
      <c r="M63" t="str">
        <f>IF(LEN(VersaPro!M63)=0,"",CHAR(10)&amp;"mod "&amp;VersaPro!M63&amp;" = !!"&amp;VersaPro!M60&amp;" #")</f>
        <v/>
      </c>
      <c r="N63" t="str">
        <f>IF(LEN(VersaPro!N63)=0,"",CHAR(10)&amp;"mod "&amp;VersaPro!N63&amp;" = !!"&amp;VersaPro!N60&amp;" #")</f>
        <v/>
      </c>
      <c r="O63" t="str">
        <f>IF(LEN(VersaPro!O63)=0,"",CHAR(10)&amp;"mod "&amp;VersaPro!O63&amp;" = !!"&amp;VersaPro!O60&amp;" #")</f>
        <v/>
      </c>
      <c r="P63" t="str">
        <f>IF(LEN(VersaPro!P63)=0,"",CHAR(10)&amp;"mod "&amp;VersaPro!P63&amp;" = !!"&amp;VersaPro!P60&amp;" #")</f>
        <v/>
      </c>
      <c r="Q63" t="str">
        <f>IF(LEN(VersaPro!Q63)=0,"",CHAR(10)&amp;"mod "&amp;VersaPro!Q63&amp;" = !!"&amp;VersaPro!Q60&amp;" #")</f>
        <v/>
      </c>
      <c r="R63" t="str">
        <f>IF(LEN(VersaPro!R63)=0,"",CHAR(10)&amp;"mod "&amp;VersaPro!R63&amp;" = !!"&amp;VersaPro!R60&amp;" #")</f>
        <v/>
      </c>
    </row>
    <row r="64" spans="1:18" x14ac:dyDescent="0.7">
      <c r="A64" t="s">
        <v>142</v>
      </c>
    </row>
    <row r="65" spans="1:18" x14ac:dyDescent="0.7">
      <c r="A65" t="s">
        <v>142</v>
      </c>
    </row>
    <row r="66" spans="1:18" x14ac:dyDescent="0.7">
      <c r="A66" t="s">
        <v>142</v>
      </c>
    </row>
    <row r="67" spans="1:18" x14ac:dyDescent="0.7">
      <c r="A67" t="s">
        <v>142</v>
      </c>
    </row>
    <row r="68" spans="1:18" x14ac:dyDescent="0.7">
      <c r="A68" t="s">
        <v>142</v>
      </c>
    </row>
    <row r="69" spans="1:18" x14ac:dyDescent="0.7">
      <c r="A69" t="s">
        <v>142</v>
      </c>
    </row>
    <row r="70" spans="1:18" x14ac:dyDescent="0.7">
      <c r="A70" t="s">
        <v>142</v>
      </c>
    </row>
    <row r="71" spans="1:18" x14ac:dyDescent="0.7">
      <c r="A71" t="s">
        <v>142</v>
      </c>
    </row>
    <row r="72" spans="1:18" x14ac:dyDescent="0.7">
      <c r="A72" t="s">
        <v>142</v>
      </c>
    </row>
    <row r="73" spans="1:18" x14ac:dyDescent="0.7">
      <c r="A73" t="s">
        <v>142</v>
      </c>
    </row>
    <row r="74" spans="1:18" x14ac:dyDescent="0.7">
      <c r="A74" t="s">
        <v>149</v>
      </c>
      <c r="B74" t="str">
        <f>IF(LEN(VersaPro!B75)=0,"",CHAR(10)&amp;"def subst *"&amp;VersaPro!B74&amp;" = *"&amp;VersaPro!B75&amp;" #")</f>
        <v/>
      </c>
      <c r="C74" t="str">
        <f>IF(LEN(VersaPro!C75)=0,"",CHAR(10)&amp;"def subst *"&amp;VersaPro!C74&amp;" = *"&amp;VersaPro!C75&amp;" #")</f>
        <v xml:space="preserve">
def subst *LeftControl = *Space #</v>
      </c>
      <c r="D74" t="str">
        <f>IF(LEN(VersaPro!D75)=0,"",CHAR(10)&amp;"def subst *"&amp;VersaPro!D74&amp;" = *"&amp;VersaPro!D75&amp;" #")</f>
        <v xml:space="preserve">
def subst *LeftWindows = *LeftWindows #</v>
      </c>
      <c r="E74" t="str">
        <f>IF(LEN(VersaPro!E75)=0,"",CHAR(10)&amp;"def subst *"&amp;VersaPro!E74&amp;" = *"&amp;VersaPro!E75&amp;" #")</f>
        <v xml:space="preserve">
def subst *LeftAlt = *LeftAlt #</v>
      </c>
      <c r="F74" t="str">
        <f>IF(LEN(VersaPro!F75)=0,"",CHAR(10)&amp;"def subst *"&amp;VersaPro!F74&amp;" = *"&amp;VersaPro!F75&amp;" #")</f>
        <v xml:space="preserve">
def subst *無変換 = *LeftControl #</v>
      </c>
      <c r="G74" t="str">
        <f>IF(LEN(VersaPro!G75)=0,"",CHAR(10)&amp;"def subst *"&amp;VersaPro!G74&amp;" = *"&amp;VersaPro!G75&amp;" #")</f>
        <v xml:space="preserve">
def subst *Space = *Space #</v>
      </c>
      <c r="H74" t="str">
        <f>IF(LEN(VersaPro!H75)=0,"",CHAR(10)&amp;"def subst *"&amp;VersaPro!H74&amp;" = *"&amp;VersaPro!H75&amp;" #")</f>
        <v/>
      </c>
      <c r="I74" t="str">
        <f>IF(LEN(VersaPro!I75)=0,"",CHAR(10)&amp;"def subst *"&amp;VersaPro!I74&amp;" = *"&amp;VersaPro!I75&amp;" #")</f>
        <v/>
      </c>
      <c r="J74" t="str">
        <f>IF(LEN(VersaPro!J75)=0,"",CHAR(10)&amp;"def subst *"&amp;VersaPro!J74&amp;" = *"&amp;VersaPro!J75&amp;" #")</f>
        <v xml:space="preserve">
def subst *変換 = *RightControl #</v>
      </c>
      <c r="K74" t="str">
        <f>IF(LEN(VersaPro!K75)=0,"",CHAR(10)&amp;"def subst *"&amp;VersaPro!K74&amp;" = *"&amp;VersaPro!K75&amp;" #")</f>
        <v xml:space="preserve">
def subst *ひらがな = *RightAlt #</v>
      </c>
      <c r="L74" t="str">
        <f>IF(LEN(VersaPro!L75)=0,"",CHAR(10)&amp;"def subst *"&amp;VersaPro!L74&amp;" = *"&amp;VersaPro!L75&amp;" #")</f>
        <v xml:space="preserve">
def subst *Applications = *Applications #</v>
      </c>
      <c r="M74" t="str">
        <f>IF(LEN(VersaPro!M75)=0,"",CHAR(10)&amp;"def subst *"&amp;VersaPro!M74&amp;" = *"&amp;VersaPro!M75&amp;" #")</f>
        <v xml:space="preserve">
def subst *RightControl = *RightControl #</v>
      </c>
      <c r="N74" t="str">
        <f>IF(LEN(VersaPro!N75)=0,"",CHAR(10)&amp;"def subst *"&amp;VersaPro!N74&amp;" = *"&amp;VersaPro!N75&amp;" #")</f>
        <v xml:space="preserve">
def subst *← = *← #</v>
      </c>
      <c r="O74" t="str">
        <f>IF(LEN(VersaPro!O75)=0,"",CHAR(10)&amp;"def subst *"&amp;VersaPro!O74&amp;" = *"&amp;VersaPro!O75&amp;" #")</f>
        <v xml:space="preserve">
def subst *↓ = *↓ #</v>
      </c>
      <c r="P74" t="str">
        <f>IF(LEN(VersaPro!P75)=0,"",CHAR(10)&amp;"def subst *"&amp;VersaPro!P74&amp;" = *"&amp;VersaPro!P75&amp;" #")</f>
        <v xml:space="preserve">
def subst *→ = *→ #</v>
      </c>
      <c r="Q74" t="str">
        <f>IF(LEN(VersaPro!Q75)=0,"",CHAR(10)&amp;"def subst *"&amp;VersaPro!Q74&amp;" = *"&amp;VersaPro!Q75&amp;" #")</f>
        <v/>
      </c>
      <c r="R74" t="str">
        <f>IF(LEN(VersaPro!R75)=0,"",CHAR(10)&amp;"def subst *"&amp;VersaPro!R74&amp;" = *"&amp;VersaPro!R75&amp;" #")</f>
        <v/>
      </c>
    </row>
    <row r="75" spans="1:18" x14ac:dyDescent="0.7">
      <c r="A75" t="s">
        <v>150</v>
      </c>
    </row>
    <row r="76" spans="1:18" x14ac:dyDescent="0.7">
      <c r="A76" t="s">
        <v>151</v>
      </c>
      <c r="B76" t="str">
        <f>IF(LEN(VersaPro!B76)=0,"",CHAR(10)&amp;"mod "&amp;VersaPro!B76&amp;" += "&amp;VersaPro!B74&amp;" #")</f>
        <v/>
      </c>
      <c r="C76" t="str">
        <f>IF(LEN(VersaPro!C76)=0,"",CHAR(10)&amp;"mod "&amp;VersaPro!C76&amp;" += "&amp;VersaPro!C74&amp;" #")</f>
        <v/>
      </c>
      <c r="D76" t="str">
        <f>IF(LEN(VersaPro!D76)=0,"",CHAR(10)&amp;"mod "&amp;VersaPro!D76&amp;" += "&amp;VersaPro!D74&amp;" #")</f>
        <v/>
      </c>
      <c r="E76" t="str">
        <f>IF(LEN(VersaPro!E76)=0,"",CHAR(10)&amp;"mod "&amp;VersaPro!E76&amp;" += "&amp;VersaPro!E74&amp;" #")</f>
        <v/>
      </c>
      <c r="F76" t="str">
        <f>IF(LEN(VersaPro!F76)=0,"",CHAR(10)&amp;"mod "&amp;VersaPro!F76&amp;" += "&amp;VersaPro!F74&amp;" #")</f>
        <v xml:space="preserve">
mod Ctrl += 無変換 #</v>
      </c>
      <c r="G76" t="str">
        <f>IF(LEN(VersaPro!G76)=0,"",CHAR(10)&amp;"mod "&amp;VersaPro!G76&amp;" += "&amp;VersaPro!G74&amp;" #")</f>
        <v/>
      </c>
      <c r="H76" t="str">
        <f>IF(LEN(VersaPro!H76)=0,"",CHAR(10)&amp;"mod "&amp;VersaPro!H76&amp;" += "&amp;VersaPro!H74&amp;" #")</f>
        <v/>
      </c>
      <c r="I76" t="str">
        <f>IF(LEN(VersaPro!I76)=0,"",CHAR(10)&amp;"mod "&amp;VersaPro!I76&amp;" += "&amp;VersaPro!I74&amp;" #")</f>
        <v/>
      </c>
      <c r="J76" t="str">
        <f>IF(LEN(VersaPro!J76)=0,"",CHAR(10)&amp;"mod "&amp;VersaPro!J76&amp;" += "&amp;VersaPro!J74&amp;" #")</f>
        <v xml:space="preserve">
mod Ctrl += 変換 #</v>
      </c>
      <c r="K76" t="str">
        <f>IF(LEN(VersaPro!K76)=0,"",CHAR(10)&amp;"mod "&amp;VersaPro!K76&amp;" += "&amp;VersaPro!K74&amp;" #")</f>
        <v xml:space="preserve">
mod Alt += ひらがな #</v>
      </c>
      <c r="L76" t="str">
        <f>IF(LEN(VersaPro!L76)=0,"",CHAR(10)&amp;"mod "&amp;VersaPro!L76&amp;" += "&amp;VersaPro!L74&amp;" #")</f>
        <v/>
      </c>
      <c r="M76" t="str">
        <f>IF(LEN(VersaPro!M76)=0,"",CHAR(10)&amp;"mod "&amp;VersaPro!M76&amp;" += "&amp;VersaPro!M74&amp;" #")</f>
        <v/>
      </c>
      <c r="N76" t="str">
        <f>IF(LEN(VersaPro!N76)=0,"",CHAR(10)&amp;"mod "&amp;VersaPro!N76&amp;" += "&amp;VersaPro!N74&amp;" #")</f>
        <v/>
      </c>
      <c r="O76" t="str">
        <f>IF(LEN(VersaPro!O76)=0,"",CHAR(10)&amp;"mod "&amp;VersaPro!O76&amp;" += "&amp;VersaPro!O74&amp;" #")</f>
        <v/>
      </c>
      <c r="P76" t="str">
        <f>IF(LEN(VersaPro!P76)=0,"",CHAR(10)&amp;"mod "&amp;VersaPro!P76&amp;" += "&amp;VersaPro!P74&amp;" #")</f>
        <v/>
      </c>
      <c r="Q76" t="str">
        <f>IF(LEN(VersaPro!Q76)=0,"",CHAR(10)&amp;"mod "&amp;VersaPro!Q76&amp;" += "&amp;VersaPro!Q74&amp;" #")</f>
        <v/>
      </c>
      <c r="R76" t="str">
        <f>IF(LEN(VersaPro!R76)=0,"",CHAR(10)&amp;"mod "&amp;VersaPro!R76&amp;" += "&amp;VersaPro!R74&amp;" #")</f>
        <v/>
      </c>
    </row>
    <row r="77" spans="1:18" x14ac:dyDescent="0.7">
      <c r="A77" t="s">
        <v>151</v>
      </c>
      <c r="B77" t="str">
        <f>IF(LEN(VersaPro!B77)=0,"",CHAR(10)&amp;"mod "&amp;VersaPro!B77&amp;" = !!"&amp;VersaPro!B74&amp;" #")</f>
        <v/>
      </c>
      <c r="C77" t="str">
        <f>IF(LEN(VersaPro!C77)=0,"",CHAR(10)&amp;"mod "&amp;VersaPro!C77&amp;" = !!"&amp;VersaPro!C74&amp;" #")</f>
        <v xml:space="preserve">
mod mod5 = !!LeftControl #</v>
      </c>
      <c r="D77" t="str">
        <f>IF(LEN(VersaPro!D77)=0,"",CHAR(10)&amp;"mod "&amp;VersaPro!D77&amp;" = !!"&amp;VersaPro!D74&amp;" #")</f>
        <v/>
      </c>
      <c r="E77" t="str">
        <f>IF(LEN(VersaPro!E77)=0,"",CHAR(10)&amp;"mod "&amp;VersaPro!E77&amp;" = !!"&amp;VersaPro!E74&amp;" #")</f>
        <v/>
      </c>
      <c r="F77" t="str">
        <f>IF(LEN(VersaPro!F77)=0,"",CHAR(10)&amp;"mod "&amp;VersaPro!F77&amp;" = !!"&amp;VersaPro!F74&amp;" #")</f>
        <v/>
      </c>
      <c r="G77" t="str">
        <f>IF(LEN(VersaPro!G77)=0,"",CHAR(10)&amp;"mod "&amp;VersaPro!G77&amp;" = !!"&amp;VersaPro!G74&amp;" #")</f>
        <v/>
      </c>
      <c r="H77" t="str">
        <f>IF(LEN(VersaPro!H77)=0,"",CHAR(10)&amp;"mod "&amp;VersaPro!H77&amp;" = !!"&amp;VersaPro!H74&amp;" #")</f>
        <v/>
      </c>
      <c r="I77" t="str">
        <f>IF(LEN(VersaPro!I77)=0,"",CHAR(10)&amp;"mod "&amp;VersaPro!I77&amp;" = !!"&amp;VersaPro!I74&amp;" #")</f>
        <v/>
      </c>
      <c r="J77" t="str">
        <f>IF(LEN(VersaPro!J77)=0,"",CHAR(10)&amp;"mod "&amp;VersaPro!J77&amp;" = !!"&amp;VersaPro!J74&amp;" #")</f>
        <v/>
      </c>
      <c r="K77" t="str">
        <f>IF(LEN(VersaPro!K77)=0,"",CHAR(10)&amp;"mod "&amp;VersaPro!K77&amp;" = !!"&amp;VersaPro!K74&amp;" #")</f>
        <v/>
      </c>
      <c r="L77" t="str">
        <f>IF(LEN(VersaPro!L77)=0,"",CHAR(10)&amp;"mod "&amp;VersaPro!L77&amp;" = !!"&amp;VersaPro!L74&amp;" #")</f>
        <v/>
      </c>
      <c r="M77" t="str">
        <f>IF(LEN(VersaPro!M77)=0,"",CHAR(10)&amp;"mod "&amp;VersaPro!M77&amp;" = !!"&amp;VersaPro!M74&amp;" #")</f>
        <v/>
      </c>
      <c r="N77" t="str">
        <f>IF(LEN(VersaPro!N77)=0,"",CHAR(10)&amp;"mod "&amp;VersaPro!N77&amp;" = !!"&amp;VersaPro!N74&amp;" #")</f>
        <v/>
      </c>
      <c r="O77" t="str">
        <f>IF(LEN(VersaPro!O77)=0,"",CHAR(10)&amp;"mod "&amp;VersaPro!O77&amp;" = !!"&amp;VersaPro!O74&amp;" #")</f>
        <v/>
      </c>
      <c r="P77" t="str">
        <f>IF(LEN(VersaPro!P77)=0,"",CHAR(10)&amp;"mod "&amp;VersaPro!P77&amp;" = !!"&amp;VersaPro!P74&amp;" #")</f>
        <v/>
      </c>
      <c r="Q77" t="str">
        <f>IF(LEN(VersaPro!Q77)=0,"",CHAR(10)&amp;"mod "&amp;VersaPro!Q77&amp;" = !!"&amp;VersaPro!Q74&amp;" #")</f>
        <v/>
      </c>
      <c r="R77" t="str">
        <f>IF(LEN(VersaPro!R77)=0,"",CHAR(10)&amp;"mod "&amp;VersaPro!R77&amp;" = !!"&amp;VersaPro!R74&amp;" #")</f>
        <v/>
      </c>
    </row>
    <row r="78" spans="1:18" x14ac:dyDescent="0.7">
      <c r="A78" t="s">
        <v>142</v>
      </c>
    </row>
    <row r="79" spans="1:18" x14ac:dyDescent="0.7">
      <c r="A79" t="s">
        <v>142</v>
      </c>
    </row>
    <row r="80" spans="1:18" x14ac:dyDescent="0.7">
      <c r="A80" t="s">
        <v>142</v>
      </c>
    </row>
    <row r="81" spans="1:2" x14ac:dyDescent="0.7">
      <c r="A81" t="s">
        <v>142</v>
      </c>
    </row>
    <row r="82" spans="1:2" x14ac:dyDescent="0.7">
      <c r="A82" t="s">
        <v>142</v>
      </c>
    </row>
    <row r="83" spans="1:2" x14ac:dyDescent="0.7">
      <c r="A83" t="s">
        <v>142</v>
      </c>
    </row>
    <row r="84" spans="1:2" x14ac:dyDescent="0.7">
      <c r="A84" t="s">
        <v>142</v>
      </c>
    </row>
    <row r="85" spans="1:2" x14ac:dyDescent="0.7">
      <c r="A85" t="s">
        <v>142</v>
      </c>
    </row>
    <row r="86" spans="1:2" x14ac:dyDescent="0.7">
      <c r="A86" t="s">
        <v>142</v>
      </c>
    </row>
    <row r="87" spans="1:2" x14ac:dyDescent="0.7">
      <c r="A87" t="s">
        <v>142</v>
      </c>
    </row>
    <row r="88" spans="1:2" x14ac:dyDescent="0.7">
      <c r="A88" t="s">
        <v>144</v>
      </c>
      <c r="B88" t="str">
        <f>"#"&amp;CHAR(10)&amp;"key *IL-*IC- ="&amp;CHAR(10)&amp;" #"</f>
        <v>#
key *IL-*IC- =
 #</v>
      </c>
    </row>
    <row r="89" spans="1:2" x14ac:dyDescent="0.7">
      <c r="A89" t="s">
        <v>145</v>
      </c>
      <c r="B89" t="str">
        <f>"#"&amp;CHAR(10)&amp;"#1段目
#1
key s-_2 = $COMMERCIAL_AT   #@
#3
#4
#5
key s-_6 = $CIRCUMFLEX_ACCENT  #^
key s-_7 = $AMPERSAND    #&amp;
key s-_8 = $ASTERISK    #*
key s-_9 = $LEFT_PARENTHESIS  #(
key s-_0 = $RIGHT_PARENTHESIS  #)
"&amp;CHAR(10)&amp;" #"</f>
        <v>#
#1段目
#1
key s-_2 = $COMMERCIAL_AT   #@
#3
#4
#5
key s-_6 = $CIRCUMFLEX_ACCENT  #^
key s-_7 = $AMPERSAND    #&amp;
key s-_8 = $ASTERISK    #*
key s-_9 = $LEFT_PARENTHESIS  #(
key s-_0 = $RIGHT_PARENTHESIS  #)
 #</v>
      </c>
    </row>
    <row r="90" spans="1:2" x14ac:dyDescent="0.7">
      <c r="A90" t="s">
        <v>146</v>
      </c>
      <c r="B90" t="str">
        <f>"#"&amp;CHAR(10)&amp;"#2段目
key colon   = s-_7
key s-colon = $QUOTATION_MARK       #
#
key *CircumflexAccent = $equals_sign    #=
key S-*CircumflexAccent = $PLUS_sign     #+
"&amp;CHAR(10)&amp;" #"</f>
        <v>#
#2段目
key colon   = s-_7
key s-colon = $QUOTATION_MARK       #
#
key *CircumflexAccent = $equals_sign    #=
key S-*CircumflexAccent = $PLUS_sign     #+
 #</v>
      </c>
    </row>
    <row r="91" spans="1:2" x14ac:dyDescent="0.7">
      <c r="A91" t="s">
        <v>147</v>
      </c>
      <c r="B91" t="str">
        <f>"#"&amp;CHAR(10)&amp;"#3段目
key s-ー     = $low_line        #_
key Atmark      = $GRAVE_ACCENT       # `
key s-Atmark    = $tilde        #~
"&amp;CHAR(10)&amp;" #"</f>
        <v>#
#3段目
key s-ー     = $low_line        #_
key Atmark      = $GRAVE_ACCENT       # `
key s-Atmark    = $tilde        #~
 #</v>
      </c>
    </row>
    <row r="92" spans="1:2" x14ac:dyDescent="0.7">
      <c r="A92" t="s">
        <v>148</v>
      </c>
      <c r="B92" t="str">
        <f>"#"&amp;CHAR(10)&amp;"#4段目
key s-semicolon = colon         #:
"&amp;CHAR(10)&amp;" #"</f>
        <v>#
#4段目
key s-semicolon = colon         #:
 #</v>
      </c>
    </row>
    <row r="93" spans="1:2" x14ac:dyDescent="0.7">
      <c r="A93" t="s">
        <v>243</v>
      </c>
      <c r="B93" t="str">
        <f>"#"&amp;CHAR(10)&amp;"#else
mod Ctrl -= LCtrl         #:
"&amp;CHAR(10)&amp;" #"</f>
        <v>#
#else
mod Ctrl -= LCtrl         #:
 #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R87"/>
  <sheetViews>
    <sheetView zoomScale="85" zoomScaleNormal="85" workbookViewId="0">
      <selection activeCell="A3" sqref="A3"/>
    </sheetView>
  </sheetViews>
  <sheetFormatPr defaultRowHeight="17.649999999999999" x14ac:dyDescent="0.7"/>
  <cols>
    <col min="2" max="2" width="53.5" bestFit="1" customWidth="1"/>
    <col min="3" max="3" width="62.5" bestFit="1" customWidth="1"/>
    <col min="4" max="4" width="69.5" bestFit="1" customWidth="1"/>
    <col min="5" max="5" width="69.6875" bestFit="1" customWidth="1"/>
    <col min="6" max="6" width="72.3125" bestFit="1" customWidth="1"/>
    <col min="7" max="7" width="65.125" bestFit="1" customWidth="1"/>
    <col min="8" max="8" width="53.8125" bestFit="1" customWidth="1"/>
    <col min="9" max="9" width="72" bestFit="1" customWidth="1"/>
    <col min="10" max="10" width="75.0625" bestFit="1" customWidth="1"/>
    <col min="11" max="11" width="76.3125" bestFit="1" customWidth="1"/>
    <col min="12" max="12" width="58.375" bestFit="1" customWidth="1"/>
    <col min="13" max="13" width="64.5" bestFit="1" customWidth="1"/>
    <col min="14" max="14" width="48.3125" bestFit="1" customWidth="1"/>
    <col min="15" max="15" width="19.75" bestFit="1" customWidth="1"/>
  </cols>
  <sheetData>
    <row r="3" spans="1:18" x14ac:dyDescent="0.7">
      <c r="A3" t="s">
        <v>144</v>
      </c>
      <c r="B3" t="str">
        <f>"#"&amp;CHAR(10)&amp;"key *IL-*IC- ="&amp;CHAR(10)&amp;" #"</f>
        <v>#
key *IL-*IC- =
 #</v>
      </c>
    </row>
    <row r="4" spans="1:18" x14ac:dyDescent="0.7">
      <c r="A4" s="1" t="s">
        <v>153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7">
      <c r="A5" s="1" t="s">
        <v>153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7">
      <c r="A6" s="1" t="s">
        <v>230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7">
      <c r="A7" s="1" t="s">
        <v>153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7">
      <c r="A8" s="1" t="str">
        <f t="shared" ref="A8:A17" si="0" xml:space="preserve"> "# mod"&amp;MOD(ROW()-8,14)</f>
        <v># mod0</v>
      </c>
      <c r="B8" s="1" t="str">
        <f>IF(LEN(VersaPro!B8)=0,"",CHAR(10)&amp;"key *W-*A-*S-*C-m"&amp;MOD(ROW()-8,14)&amp;"-"&amp;VersaPro!B$5&amp;" = *W-*A-*S-*C-"&amp;VersaPro!B8&amp;" #")</f>
        <v/>
      </c>
      <c r="C8" s="1" t="str">
        <f>IF(LEN(VersaPro!C8)=0,"",CHAR(10)&amp;"key *W-*A-*S-*C-m"&amp;MOD(ROW()-8,14)&amp;"-"&amp;VersaPro!C$5&amp;" = *W-*A-*S-*C-"&amp;VersaPro!C8&amp;" #")</f>
        <v/>
      </c>
      <c r="D8" s="1" t="str">
        <f>IF(LEN(VersaPro!D8)=0,"",CHAR(10)&amp;"key *W-*A-*S-*C-m"&amp;MOD(ROW()-8,14)&amp;"-"&amp;VersaPro!D$5&amp;" = *W-*A-*S-*C-"&amp;VersaPro!D8&amp;" #")</f>
        <v xml:space="preserve">
key *W-*A-*S-*C-m0-Esc = *W-*A-*S-*C-F9 #</v>
      </c>
      <c r="E8" s="1" t="str">
        <f>IF(LEN(VersaPro!E8)=0,"",CHAR(10)&amp;"key *W-*A-*S-*C-m"&amp;MOD(ROW()-8,14)&amp;"-"&amp;VersaPro!E$5&amp;" = *W-*A-*S-*C-"&amp;VersaPro!E8&amp;" #")</f>
        <v xml:space="preserve">
key *W-*A-*S-*C-m0-LeftControl = *W-*A-*S-*C-S-Tab #</v>
      </c>
      <c r="F8" s="1" t="str">
        <f>IF(LEN(VersaPro!F8)=0,"",CHAR(10)&amp;"key *W-*A-*S-*C-m"&amp;MOD(ROW()-8,14)&amp;"-"&amp;VersaPro!F$5&amp;" = *W-*A-*S-*C-"&amp;VersaPro!F8&amp;" #")</f>
        <v xml:space="preserve">
key *W-*A-*S-*C-m0-LeftAlt = *W-*A-*S-*C-Tab #</v>
      </c>
      <c r="G8" s="1" t="str">
        <f>IF(LEN(VersaPro!G8)=0,"",CHAR(10)&amp;"key *W-*A-*S-*C-m"&amp;MOD(ROW()-8,14)&amp;"-"&amp;VersaPro!G$5&amp;" = *W-*A-*S-*C-"&amp;VersaPro!G8&amp;" #")</f>
        <v xml:space="preserve">
key *W-*A-*S-*C-m0-BackSpace = *W-*A-*S-*C-A-F4 #</v>
      </c>
      <c r="H8" s="1" t="str">
        <f>IF(LEN(VersaPro!H8)=0,"",CHAR(10)&amp;"key *W-*A-*S-*C-m"&amp;MOD(ROW()-8,14)&amp;"-"&amp;VersaPro!H$5&amp;" = *W-*A-*S-*C-"&amp;VersaPro!H8&amp;" #")</f>
        <v xml:space="preserve">
key *W-*A-*S-*C-m0-Delete = *W-*A-*S-*C-C-W #</v>
      </c>
      <c r="I8" s="1" t="str">
        <f>IF(LEN(VersaPro!I8)=0,"",CHAR(10)&amp;"key *W-*A-*S-*C-m"&amp;MOD(ROW()-8,14)&amp;"-"&amp;VersaPro!I$5&amp;" = *W-*A-*S-*C-"&amp;VersaPro!I8&amp;" #")</f>
        <v/>
      </c>
      <c r="J8" s="1" t="str">
        <f>IF(LEN(VersaPro!J8)=0,"",CHAR(10)&amp;"key *W-*A-*S-*C-m"&amp;MOD(ROW()-8,14)&amp;"-"&amp;VersaPro!J$5&amp;" = *W-*A-*S-*C-"&amp;VersaPro!J8&amp;" #")</f>
        <v/>
      </c>
      <c r="K8" s="1" t="str">
        <f>IF(LEN(VersaPro!K8)=0,"",CHAR(10)&amp;"key *W-*A-*S-*C-m"&amp;MOD(ROW()-8,14)&amp;"-"&amp;VersaPro!K$5&amp;" = *W-*A-*S-*C-"&amp;VersaPro!K8&amp;" #")</f>
        <v/>
      </c>
      <c r="L8" s="1" t="str">
        <f>IF(LEN(VersaPro!L8)=0,"",CHAR(10)&amp;"key *W-*A-*S-*C-m"&amp;MOD(ROW()-8,14)&amp;"-"&amp;VersaPro!L$5&amp;" = *W-*A-*S-*C-"&amp;VersaPro!L8&amp;" #")</f>
        <v xml:space="preserve">
key *W-*A-*S-*C-m0-Tab = *W-*A-*S-*C-＠ #</v>
      </c>
      <c r="M8" s="1" t="str">
        <f>IF(LEN(VersaPro!M8)=0,"",CHAR(10)&amp;"key *W-*A-*S-*C-m"&amp;MOD(ROW()-8,14)&amp;"-"&amp;VersaPro!M$5&amp;" = *W-*A-*S-*C-"&amp;VersaPro!M8&amp;" #")</f>
        <v xml:space="preserve">
key *W-*A-*S-*C-m0-S-Tab = *W-*A-*S-*C-＠ #</v>
      </c>
      <c r="N8" s="1" t="str">
        <f>IF(LEN(VersaPro!N8)=0,"",CHAR(10)&amp;"key *W-*A-*S-*C-m"&amp;MOD(ROW()-8,14)&amp;"-"&amp;VersaPro!N$5&amp;" = *W-*A-*S-*C-"&amp;VersaPro!N8&amp;" #")</f>
        <v xml:space="preserve">
key *W-*A-*S-*C-m0-RightAlt = *W-*A-*S-*C-＠ #</v>
      </c>
      <c r="O8" s="1" t="str">
        <f>IF(LEN(VersaPro!O8)=0,"",CHAR(10)&amp;"key *W-*A-*S-*C-m"&amp;MOD(ROW()-8,14)&amp;"-"&amp;VersaPro!O$5&amp;" = *W-*A-*S-*C-"&amp;VersaPro!O8&amp;" #")</f>
        <v/>
      </c>
      <c r="P8" s="1" t="str">
        <f>IF(LEN(VersaPro!P8)=0,"",CHAR(10)&amp;"key *W-*A-*S-*C-m"&amp;MOD(ROW()-8,14)&amp;"-"&amp;VersaPro!P$5&amp;" = *W-*A-*S-*C-"&amp;VersaPro!P8&amp;" #")</f>
        <v/>
      </c>
      <c r="Q8" s="1" t="str">
        <f>IF(LEN(VersaPro!Q8)=0,"",CHAR(10)&amp;"key *W-*A-*S-*C-m"&amp;MOD(ROW()-8,14)&amp;"-"&amp;VersaPro!Q$5&amp;" = *W-*A-*S-*C-"&amp;VersaPro!Q8&amp;" #")</f>
        <v/>
      </c>
      <c r="R8" s="1" t="str">
        <f>IF(LEN(VersaPro!R8)=0,"",CHAR(10)&amp;"key *W-*A-*S-*C-m"&amp;MOD(ROW()-8,14)&amp;"-"&amp;VersaPro!R$5&amp;" = *W-*A-*S-*C-"&amp;VersaPro!R8&amp;" #")</f>
        <v/>
      </c>
    </row>
    <row r="9" spans="1:18" x14ac:dyDescent="0.7">
      <c r="A9" s="1" t="str">
        <f t="shared" si="0"/>
        <v># mod1</v>
      </c>
      <c r="B9" s="1" t="str">
        <f>IF(LEN(VersaPro!B9)=0,"",CHAR(10)&amp;"key *W-*A-*S-*C-m"&amp;MOD(ROW()-8,14)&amp;"-"&amp;VersaPro!B$5&amp;" = *W-*A-*S-*C-"&amp;VersaPro!B9&amp;" #")</f>
        <v/>
      </c>
      <c r="C9" s="1" t="str">
        <f>IF(LEN(VersaPro!C9)=0,"",CHAR(10)&amp;"key *W-*A-*S-*C-m"&amp;MOD(ROW()-8,14)&amp;"-"&amp;VersaPro!C$5&amp;" = *W-*A-*S-*C-"&amp;VersaPro!C9&amp;" #")</f>
        <v xml:space="preserve">
key *W-*A-*S-*C-m1-LeftWindows = *W-*A-*S-*C-＠ #</v>
      </c>
      <c r="D9" s="1" t="str">
        <f>IF(LEN(VersaPro!D9)=0,"",CHAR(10)&amp;"key *W-*A-*S-*C-m"&amp;MOD(ROW()-8,14)&amp;"-"&amp;VersaPro!D$5&amp;" = *W-*A-*S-*C-"&amp;VersaPro!D9&amp;" #")</f>
        <v xml:space="preserve">
key *W-*A-*S-*C-m1-Esc = *W-*A-*S-*C-＠ #</v>
      </c>
      <c r="E9" s="1" t="str">
        <f>IF(LEN(VersaPro!E9)=0,"",CHAR(10)&amp;"key *W-*A-*S-*C-m"&amp;MOD(ROW()-8,14)&amp;"-"&amp;VersaPro!E$5&amp;" = *W-*A-*S-*C-"&amp;VersaPro!E9&amp;" #")</f>
        <v xml:space="preserve">
key *W-*A-*S-*C-m1-LeftControl = *W-*A-*S-*C-＠ #</v>
      </c>
      <c r="F9" s="1" t="str">
        <f>IF(LEN(VersaPro!F9)=0,"",CHAR(10)&amp;"key *W-*A-*S-*C-m"&amp;MOD(ROW()-8,14)&amp;"-"&amp;VersaPro!F$5&amp;" = *W-*A-*S-*C-"&amp;VersaPro!F9&amp;" #")</f>
        <v xml:space="preserve">
key *W-*A-*S-*C-m1-LeftAlt = *W-*A-*S-*C-＠ #</v>
      </c>
      <c r="G9" s="1" t="str">
        <f>IF(LEN(VersaPro!G9)=0,"",CHAR(10)&amp;"key *W-*A-*S-*C-m"&amp;MOD(ROW()-8,14)&amp;"-"&amp;VersaPro!G$5&amp;" = *W-*A-*S-*C-"&amp;VersaPro!G9&amp;" #")</f>
        <v xml:space="preserve">
key *W-*A-*S-*C-m1-BackSpace = *W-*A-*S-*C-＠ #</v>
      </c>
      <c r="H9" s="1" t="str">
        <f>IF(LEN(VersaPro!H9)=0,"",CHAR(10)&amp;"key *W-*A-*S-*C-m"&amp;MOD(ROW()-8,14)&amp;"-"&amp;VersaPro!H$5&amp;" = *W-*A-*S-*C-"&amp;VersaPro!H9&amp;" #")</f>
        <v xml:space="preserve">
key *W-*A-*S-*C-m1-Delete = *W-*A-*S-*C-＠ #</v>
      </c>
      <c r="I9" s="1" t="str">
        <f>IF(LEN(VersaPro!I9)=0,"",CHAR(10)&amp;"key *W-*A-*S-*C-m"&amp;MOD(ROW()-8,14)&amp;"-"&amp;VersaPro!I$5&amp;" = *W-*A-*S-*C-"&amp;VersaPro!I9&amp;" #")</f>
        <v/>
      </c>
      <c r="J9" s="1" t="str">
        <f>IF(LEN(VersaPro!J9)=0,"",CHAR(10)&amp;"key *W-*A-*S-*C-m"&amp;MOD(ROW()-8,14)&amp;"-"&amp;VersaPro!J$5&amp;" = *W-*A-*S-*C-"&amp;VersaPro!J9&amp;" #")</f>
        <v/>
      </c>
      <c r="K9" s="1" t="str">
        <f>IF(LEN(VersaPro!K9)=0,"",CHAR(10)&amp;"key *W-*A-*S-*C-m"&amp;MOD(ROW()-8,14)&amp;"-"&amp;VersaPro!K$5&amp;" = *W-*A-*S-*C-"&amp;VersaPro!K9&amp;" #")</f>
        <v/>
      </c>
      <c r="L9" s="1" t="str">
        <f>IF(LEN(VersaPro!L9)=0,"",CHAR(10)&amp;"key *W-*A-*S-*C-m"&amp;MOD(ROW()-8,14)&amp;"-"&amp;VersaPro!L$5&amp;" = *W-*A-*S-*C-"&amp;VersaPro!L9&amp;" #")</f>
        <v xml:space="preserve">
key *W-*A-*S-*C-m1-Tab = *W-*A-*S-*C-＠ #</v>
      </c>
      <c r="M9" s="1" t="str">
        <f>IF(LEN(VersaPro!M9)=0,"",CHAR(10)&amp;"key *W-*A-*S-*C-m"&amp;MOD(ROW()-8,14)&amp;"-"&amp;VersaPro!M$5&amp;" = *W-*A-*S-*C-"&amp;VersaPro!M9&amp;" #")</f>
        <v xml:space="preserve">
key *W-*A-*S-*C-m1-S-Tab = *W-*A-*S-*C-＠ #</v>
      </c>
      <c r="N9" s="1" t="str">
        <f>IF(LEN(VersaPro!N9)=0,"",CHAR(10)&amp;"key *W-*A-*S-*C-m"&amp;MOD(ROW()-8,14)&amp;"-"&amp;VersaPro!N$5&amp;" = *W-*A-*S-*C-"&amp;VersaPro!N9&amp;" #")</f>
        <v xml:space="preserve">
key *W-*A-*S-*C-m1-RightAlt = *W-*A-*S-*C-＠ #</v>
      </c>
      <c r="O9" s="1" t="str">
        <f>IF(LEN(VersaPro!O9)=0,"",CHAR(10)&amp;"key *W-*A-*S-*C-m"&amp;MOD(ROW()-8,14)&amp;"-"&amp;VersaPro!O$5&amp;" = *W-*A-*S-*C-"&amp;VersaPro!O9&amp;" #")</f>
        <v/>
      </c>
      <c r="P9" s="1" t="str">
        <f>IF(LEN(VersaPro!P9)=0,"",CHAR(10)&amp;"key *W-*A-*S-*C-m"&amp;MOD(ROW()-8,14)&amp;"-"&amp;VersaPro!P$5&amp;" = *W-*A-*S-*C-"&amp;VersaPro!P9&amp;" #")</f>
        <v/>
      </c>
      <c r="Q9" s="1" t="str">
        <f>IF(LEN(VersaPro!Q9)=0,"",CHAR(10)&amp;"key *W-*A-*S-*C-m"&amp;MOD(ROW()-8,14)&amp;"-"&amp;VersaPro!Q$5&amp;" = *W-*A-*S-*C-"&amp;VersaPro!Q9&amp;" #")</f>
        <v/>
      </c>
      <c r="R9" s="1" t="str">
        <f>IF(LEN(VersaPro!R9)=0,"",CHAR(10)&amp;"key *W-*A-*S-*C-m"&amp;MOD(ROW()-8,14)&amp;"-"&amp;VersaPro!R$5&amp;" = *W-*A-*S-*C-"&amp;VersaPro!R9&amp;" #")</f>
        <v/>
      </c>
    </row>
    <row r="10" spans="1:18" x14ac:dyDescent="0.7">
      <c r="A10" s="1" t="str">
        <f t="shared" si="0"/>
        <v># mod2</v>
      </c>
      <c r="B10" s="1" t="str">
        <f>IF(LEN(VersaPro!B10)=0,"",CHAR(10)&amp;"key *W-*A-*S-*C-m"&amp;MOD(ROW()-8,14)&amp;"-"&amp;VersaPro!B$5&amp;" = *W-*A-*S-*C-"&amp;VersaPro!B10&amp;" #")</f>
        <v/>
      </c>
      <c r="C10" s="1" t="str">
        <f>IF(LEN(VersaPro!C10)=0,"",CHAR(10)&amp;"key *W-*A-*S-*C-m"&amp;MOD(ROW()-8,14)&amp;"-"&amp;VersaPro!C$5&amp;" = *W-*A-*S-*C-"&amp;VersaPro!C10&amp;" #")</f>
        <v xml:space="preserve">
key *W-*A-*S-*C-m2-LeftWindows = *W-*A-*S-*C-＠ #</v>
      </c>
      <c r="D10" s="1" t="str">
        <f>IF(LEN(VersaPro!D10)=0,"",CHAR(10)&amp;"key *W-*A-*S-*C-m"&amp;MOD(ROW()-8,14)&amp;"-"&amp;VersaPro!D$5&amp;" = *W-*A-*S-*C-"&amp;VersaPro!D10&amp;" #")</f>
        <v xml:space="preserve">
key *W-*A-*S-*C-m2-Esc = *W-*A-*S-*C-＠ #</v>
      </c>
      <c r="E10" s="1" t="str">
        <f>IF(LEN(VersaPro!E10)=0,"",CHAR(10)&amp;"key *W-*A-*S-*C-m"&amp;MOD(ROW()-8,14)&amp;"-"&amp;VersaPro!E$5&amp;" = *W-*A-*S-*C-"&amp;VersaPro!E10&amp;" #")</f>
        <v xml:space="preserve">
key *W-*A-*S-*C-m2-LeftControl = *W-*A-*S-*C-＠ #</v>
      </c>
      <c r="F10" s="1" t="str">
        <f>IF(LEN(VersaPro!F10)=0,"",CHAR(10)&amp;"key *W-*A-*S-*C-m"&amp;MOD(ROW()-8,14)&amp;"-"&amp;VersaPro!F$5&amp;" = *W-*A-*S-*C-"&amp;VersaPro!F10&amp;" #")</f>
        <v xml:space="preserve">
key *W-*A-*S-*C-m2-LeftAlt = *W-*A-*S-*C-＠ #</v>
      </c>
      <c r="G10" s="1" t="str">
        <f>IF(LEN(VersaPro!G10)=0,"",CHAR(10)&amp;"key *W-*A-*S-*C-m"&amp;MOD(ROW()-8,14)&amp;"-"&amp;VersaPro!G$5&amp;" = *W-*A-*S-*C-"&amp;VersaPro!G10&amp;" #")</f>
        <v xml:space="preserve">
key *W-*A-*S-*C-m2-BackSpace = *W-*A-*S-*C-＠ #</v>
      </c>
      <c r="H10" s="1" t="str">
        <f>IF(LEN(VersaPro!H10)=0,"",CHAR(10)&amp;"key *W-*A-*S-*C-m"&amp;MOD(ROW()-8,14)&amp;"-"&amp;VersaPro!H$5&amp;" = *W-*A-*S-*C-"&amp;VersaPro!H10&amp;" #")</f>
        <v xml:space="preserve">
key *W-*A-*S-*C-m2-Delete = *W-*A-*S-*C-＠ #</v>
      </c>
      <c r="I10" s="1" t="str">
        <f>IF(LEN(VersaPro!I10)=0,"",CHAR(10)&amp;"key *W-*A-*S-*C-m"&amp;MOD(ROW()-8,14)&amp;"-"&amp;VersaPro!I$5&amp;" = *W-*A-*S-*C-"&amp;VersaPro!I10&amp;" #")</f>
        <v/>
      </c>
      <c r="J10" s="1" t="str">
        <f>IF(LEN(VersaPro!J10)=0,"",CHAR(10)&amp;"key *W-*A-*S-*C-m"&amp;MOD(ROW()-8,14)&amp;"-"&amp;VersaPro!J$5&amp;" = *W-*A-*S-*C-"&amp;VersaPro!J10&amp;" #")</f>
        <v/>
      </c>
      <c r="K10" s="1" t="str">
        <f>IF(LEN(VersaPro!K10)=0,"",CHAR(10)&amp;"key *W-*A-*S-*C-m"&amp;MOD(ROW()-8,14)&amp;"-"&amp;VersaPro!K$5&amp;" = *W-*A-*S-*C-"&amp;VersaPro!K10&amp;" #")</f>
        <v/>
      </c>
      <c r="L10" s="1" t="str">
        <f>IF(LEN(VersaPro!L10)=0,"",CHAR(10)&amp;"key *W-*A-*S-*C-m"&amp;MOD(ROW()-8,14)&amp;"-"&amp;VersaPro!L$5&amp;" = *W-*A-*S-*C-"&amp;VersaPro!L10&amp;" #")</f>
        <v xml:space="preserve">
key *W-*A-*S-*C-m2-Tab = *W-*A-*S-*C-＠ #</v>
      </c>
      <c r="M10" s="1" t="str">
        <f>IF(LEN(VersaPro!M10)=0,"",CHAR(10)&amp;"key *W-*A-*S-*C-m"&amp;MOD(ROW()-8,14)&amp;"-"&amp;VersaPro!M$5&amp;" = *W-*A-*S-*C-"&amp;VersaPro!M10&amp;" #")</f>
        <v xml:space="preserve">
key *W-*A-*S-*C-m2-S-Tab = *W-*A-*S-*C-＠ #</v>
      </c>
      <c r="N10" s="1" t="str">
        <f>IF(LEN(VersaPro!N10)=0,"",CHAR(10)&amp;"key *W-*A-*S-*C-m"&amp;MOD(ROW()-8,14)&amp;"-"&amp;VersaPro!N$5&amp;" = *W-*A-*S-*C-"&amp;VersaPro!N10&amp;" #")</f>
        <v xml:space="preserve">
key *W-*A-*S-*C-m2-RightAlt = *W-*A-*S-*C-＠ #</v>
      </c>
      <c r="O10" s="1" t="str">
        <f>IF(LEN(VersaPro!O10)=0,"",CHAR(10)&amp;"key *W-*A-*S-*C-m"&amp;MOD(ROW()-8,14)&amp;"-"&amp;VersaPro!O$5&amp;" = *W-*A-*S-*C-"&amp;VersaPro!O10&amp;" #")</f>
        <v/>
      </c>
      <c r="P10" s="1" t="str">
        <f>IF(LEN(VersaPro!P10)=0,"",CHAR(10)&amp;"key *W-*A-*S-*C-m"&amp;MOD(ROW()-8,14)&amp;"-"&amp;VersaPro!P$5&amp;" = *W-*A-*S-*C-"&amp;VersaPro!P10&amp;" #")</f>
        <v/>
      </c>
      <c r="Q10" s="1" t="str">
        <f>IF(LEN(VersaPro!Q10)=0,"",CHAR(10)&amp;"key *W-*A-*S-*C-m"&amp;MOD(ROW()-8,14)&amp;"-"&amp;VersaPro!Q$5&amp;" = *W-*A-*S-*C-"&amp;VersaPro!Q10&amp;" #")</f>
        <v/>
      </c>
      <c r="R10" s="1" t="str">
        <f>IF(LEN(VersaPro!R10)=0,"",CHAR(10)&amp;"key *W-*A-*S-*C-m"&amp;MOD(ROW()-8,14)&amp;"-"&amp;VersaPro!R$5&amp;" = *W-*A-*S-*C-"&amp;VersaPro!R10&amp;" #")</f>
        <v/>
      </c>
    </row>
    <row r="11" spans="1:18" x14ac:dyDescent="0.7">
      <c r="A11" s="1" t="str">
        <f t="shared" si="0"/>
        <v># mod3</v>
      </c>
      <c r="B11" s="1" t="str">
        <f>IF(LEN(VersaPro!B11)=0,"",CHAR(10)&amp;"key *W-*A-*S-*C-m"&amp;MOD(ROW()-8,14)&amp;"-"&amp;VersaPro!B$5&amp;" = *W-*A-*S-*C-"&amp;VersaPro!B11&amp;" #")</f>
        <v/>
      </c>
      <c r="C11" s="1" t="str">
        <f>IF(LEN(VersaPro!C11)=0,"",CHAR(10)&amp;"key *W-*A-*S-*C-m"&amp;MOD(ROW()-8,14)&amp;"-"&amp;VersaPro!C$5&amp;" = *W-*A-*S-*C-"&amp;VersaPro!C11&amp;" #")</f>
        <v xml:space="preserve">
key *W-*A-*S-*C-m3-LeftWindows = *W-*A-*S-*C-＠ #</v>
      </c>
      <c r="D11" s="1" t="str">
        <f>IF(LEN(VersaPro!D11)=0,"",CHAR(10)&amp;"key *W-*A-*S-*C-m"&amp;MOD(ROW()-8,14)&amp;"-"&amp;VersaPro!D$5&amp;" = *W-*A-*S-*C-"&amp;VersaPro!D11&amp;" #")</f>
        <v xml:space="preserve">
key *W-*A-*S-*C-m3-Esc = *W-*A-*S-*C-＠ #</v>
      </c>
      <c r="E11" s="1" t="str">
        <f>IF(LEN(VersaPro!E11)=0,"",CHAR(10)&amp;"key *W-*A-*S-*C-m"&amp;MOD(ROW()-8,14)&amp;"-"&amp;VersaPro!E$5&amp;" = *W-*A-*S-*C-"&amp;VersaPro!E11&amp;" #")</f>
        <v xml:space="preserve">
key *W-*A-*S-*C-m3-LeftControl = *W-*A-*S-*C-＠ #</v>
      </c>
      <c r="F11" s="1" t="str">
        <f>IF(LEN(VersaPro!F11)=0,"",CHAR(10)&amp;"key *W-*A-*S-*C-m"&amp;MOD(ROW()-8,14)&amp;"-"&amp;VersaPro!F$5&amp;" = *W-*A-*S-*C-"&amp;VersaPro!F11&amp;" #")</f>
        <v xml:space="preserve">
key *W-*A-*S-*C-m3-LeftAlt = *W-*A-*S-*C-＠ #</v>
      </c>
      <c r="G11" s="1" t="str">
        <f>IF(LEN(VersaPro!G11)=0,"",CHAR(10)&amp;"key *W-*A-*S-*C-m"&amp;MOD(ROW()-8,14)&amp;"-"&amp;VersaPro!G$5&amp;" = *W-*A-*S-*C-"&amp;VersaPro!G11&amp;" #")</f>
        <v xml:space="preserve">
key *W-*A-*S-*C-m3-BackSpace = *W-*A-*S-*C-＠ #</v>
      </c>
      <c r="H11" s="1" t="str">
        <f>IF(LEN(VersaPro!H11)=0,"",CHAR(10)&amp;"key *W-*A-*S-*C-m"&amp;MOD(ROW()-8,14)&amp;"-"&amp;VersaPro!H$5&amp;" = *W-*A-*S-*C-"&amp;VersaPro!H11&amp;" #")</f>
        <v xml:space="preserve">
key *W-*A-*S-*C-m3-Delete = *W-*A-*S-*C-＠ #</v>
      </c>
      <c r="I11" s="1" t="str">
        <f>IF(LEN(VersaPro!I11)=0,"",CHAR(10)&amp;"key *W-*A-*S-*C-m"&amp;MOD(ROW()-8,14)&amp;"-"&amp;VersaPro!I$5&amp;" = *W-*A-*S-*C-"&amp;VersaPro!I11&amp;" #")</f>
        <v/>
      </c>
      <c r="J11" s="1" t="str">
        <f>IF(LEN(VersaPro!J11)=0,"",CHAR(10)&amp;"key *W-*A-*S-*C-m"&amp;MOD(ROW()-8,14)&amp;"-"&amp;VersaPro!J$5&amp;" = *W-*A-*S-*C-"&amp;VersaPro!J11&amp;" #")</f>
        <v/>
      </c>
      <c r="K11" s="1" t="str">
        <f>IF(LEN(VersaPro!K11)=0,"",CHAR(10)&amp;"key *W-*A-*S-*C-m"&amp;MOD(ROW()-8,14)&amp;"-"&amp;VersaPro!K$5&amp;" = *W-*A-*S-*C-"&amp;VersaPro!K11&amp;" #")</f>
        <v/>
      </c>
      <c r="L11" s="1" t="str">
        <f>IF(LEN(VersaPro!L11)=0,"",CHAR(10)&amp;"key *W-*A-*S-*C-m"&amp;MOD(ROW()-8,14)&amp;"-"&amp;VersaPro!L$5&amp;" = *W-*A-*S-*C-"&amp;VersaPro!L11&amp;" #")</f>
        <v xml:space="preserve">
key *W-*A-*S-*C-m3-Tab = *W-*A-*S-*C-＠ #</v>
      </c>
      <c r="M11" s="1" t="str">
        <f>IF(LEN(VersaPro!M11)=0,"",CHAR(10)&amp;"key *W-*A-*S-*C-m"&amp;MOD(ROW()-8,14)&amp;"-"&amp;VersaPro!M$5&amp;" = *W-*A-*S-*C-"&amp;VersaPro!M11&amp;" #")</f>
        <v xml:space="preserve">
key *W-*A-*S-*C-m3-S-Tab = *W-*A-*S-*C-＠ #</v>
      </c>
      <c r="N11" s="1" t="str">
        <f>IF(LEN(VersaPro!N11)=0,"",CHAR(10)&amp;"key *W-*A-*S-*C-m"&amp;MOD(ROW()-8,14)&amp;"-"&amp;VersaPro!N$5&amp;" = *W-*A-*S-*C-"&amp;VersaPro!N11&amp;" #")</f>
        <v xml:space="preserve">
key *W-*A-*S-*C-m3-RightAlt = *W-*A-*S-*C-＠ #</v>
      </c>
      <c r="O11" s="1" t="str">
        <f>IF(LEN(VersaPro!O11)=0,"",CHAR(10)&amp;"key *W-*A-*S-*C-m"&amp;MOD(ROW()-8,14)&amp;"-"&amp;VersaPro!O$5&amp;" = *W-*A-*S-*C-"&amp;VersaPro!O11&amp;" #")</f>
        <v/>
      </c>
      <c r="P11" s="1" t="str">
        <f>IF(LEN(VersaPro!P11)=0,"",CHAR(10)&amp;"key *W-*A-*S-*C-m"&amp;MOD(ROW()-8,14)&amp;"-"&amp;VersaPro!P$5&amp;" = *W-*A-*S-*C-"&amp;VersaPro!P11&amp;" #")</f>
        <v/>
      </c>
      <c r="Q11" s="1" t="str">
        <f>IF(LEN(VersaPro!Q11)=0,"",CHAR(10)&amp;"key *W-*A-*S-*C-m"&amp;MOD(ROW()-8,14)&amp;"-"&amp;VersaPro!Q$5&amp;" = *W-*A-*S-*C-"&amp;VersaPro!Q11&amp;" #")</f>
        <v/>
      </c>
      <c r="R11" s="1" t="str">
        <f>IF(LEN(VersaPro!R11)=0,"",CHAR(10)&amp;"key *W-*A-*S-*C-m"&amp;MOD(ROW()-8,14)&amp;"-"&amp;VersaPro!R$5&amp;" = *W-*A-*S-*C-"&amp;VersaPro!R11&amp;" #")</f>
        <v/>
      </c>
    </row>
    <row r="12" spans="1:18" x14ac:dyDescent="0.7">
      <c r="A12" s="1" t="str">
        <f t="shared" si="0"/>
        <v># mod4</v>
      </c>
      <c r="B12" s="1" t="str">
        <f>IF(LEN(VersaPro!B12)=0,"",CHAR(10)&amp;"key *W-*A-*S-*C-m"&amp;MOD(ROW()-8,14)&amp;"-"&amp;VersaPro!B$5&amp;" = *W-*A-*S-*C-"&amp;VersaPro!B12&amp;" #")</f>
        <v/>
      </c>
      <c r="C12" s="1" t="str">
        <f>IF(LEN(VersaPro!C12)=0,"",CHAR(10)&amp;"key *W-*A-*S-*C-m"&amp;MOD(ROW()-8,14)&amp;"-"&amp;VersaPro!C$5&amp;" = *W-*A-*S-*C-"&amp;VersaPro!C12&amp;" #")</f>
        <v xml:space="preserve">
key *W-*A-*S-*C-m4-LeftWindows = *W-*A-*S-*C-＠ #</v>
      </c>
      <c r="D12" s="1" t="str">
        <f>IF(LEN(VersaPro!D12)=0,"",CHAR(10)&amp;"key *W-*A-*S-*C-m"&amp;MOD(ROW()-8,14)&amp;"-"&amp;VersaPro!D$5&amp;" = *W-*A-*S-*C-"&amp;VersaPro!D12&amp;" #")</f>
        <v xml:space="preserve">
key *W-*A-*S-*C-m4-Esc = *W-*A-*S-*C-＠ #</v>
      </c>
      <c r="E12" s="1" t="str">
        <f>IF(LEN(VersaPro!E12)=0,"",CHAR(10)&amp;"key *W-*A-*S-*C-m"&amp;MOD(ROW()-8,14)&amp;"-"&amp;VersaPro!E$5&amp;" = *W-*A-*S-*C-"&amp;VersaPro!E12&amp;" #")</f>
        <v xml:space="preserve">
key *W-*A-*S-*C-m4-LeftControl = *W-*A-*S-*C-＠ #</v>
      </c>
      <c r="F12" s="1" t="str">
        <f>IF(LEN(VersaPro!F12)=0,"",CHAR(10)&amp;"key *W-*A-*S-*C-m"&amp;MOD(ROW()-8,14)&amp;"-"&amp;VersaPro!F$5&amp;" = *W-*A-*S-*C-"&amp;VersaPro!F12&amp;" #")</f>
        <v xml:space="preserve">
key *W-*A-*S-*C-m4-LeftAlt = *W-*A-*S-*C-＠ #</v>
      </c>
      <c r="G12" s="1" t="str">
        <f>IF(LEN(VersaPro!G12)=0,"",CHAR(10)&amp;"key *W-*A-*S-*C-m"&amp;MOD(ROW()-8,14)&amp;"-"&amp;VersaPro!G$5&amp;" = *W-*A-*S-*C-"&amp;VersaPro!G12&amp;" #")</f>
        <v xml:space="preserve">
key *W-*A-*S-*C-m4-BackSpace = *W-*A-*S-*C-＠ #</v>
      </c>
      <c r="H12" s="1" t="str">
        <f>IF(LEN(VersaPro!H12)=0,"",CHAR(10)&amp;"key *W-*A-*S-*C-m"&amp;MOD(ROW()-8,14)&amp;"-"&amp;VersaPro!H$5&amp;" = *W-*A-*S-*C-"&amp;VersaPro!H12&amp;" #")</f>
        <v xml:space="preserve">
key *W-*A-*S-*C-m4-Delete = *W-*A-*S-*C-＠ #</v>
      </c>
      <c r="I12" s="1" t="str">
        <f>IF(LEN(VersaPro!I12)=0,"",CHAR(10)&amp;"key *W-*A-*S-*C-m"&amp;MOD(ROW()-8,14)&amp;"-"&amp;VersaPro!I$5&amp;" = *W-*A-*S-*C-"&amp;VersaPro!I12&amp;" #")</f>
        <v/>
      </c>
      <c r="J12" s="1" t="str">
        <f>IF(LEN(VersaPro!J12)=0,"",CHAR(10)&amp;"key *W-*A-*S-*C-m"&amp;MOD(ROW()-8,14)&amp;"-"&amp;VersaPro!J$5&amp;" = *W-*A-*S-*C-"&amp;VersaPro!J12&amp;" #")</f>
        <v/>
      </c>
      <c r="K12" s="1" t="str">
        <f>IF(LEN(VersaPro!K12)=0,"",CHAR(10)&amp;"key *W-*A-*S-*C-m"&amp;MOD(ROW()-8,14)&amp;"-"&amp;VersaPro!K$5&amp;" = *W-*A-*S-*C-"&amp;VersaPro!K12&amp;" #")</f>
        <v/>
      </c>
      <c r="L12" s="1" t="str">
        <f>IF(LEN(VersaPro!L12)=0,"",CHAR(10)&amp;"key *W-*A-*S-*C-m"&amp;MOD(ROW()-8,14)&amp;"-"&amp;VersaPro!L$5&amp;" = *W-*A-*S-*C-"&amp;VersaPro!L12&amp;" #")</f>
        <v xml:space="preserve">
key *W-*A-*S-*C-m4-Tab = *W-*A-*S-*C-＠ #</v>
      </c>
      <c r="M12" s="1" t="str">
        <f>IF(LEN(VersaPro!M12)=0,"",CHAR(10)&amp;"key *W-*A-*S-*C-m"&amp;MOD(ROW()-8,14)&amp;"-"&amp;VersaPro!M$5&amp;" = *W-*A-*S-*C-"&amp;VersaPro!M12&amp;" #")</f>
        <v xml:space="preserve">
key *W-*A-*S-*C-m4-S-Tab = *W-*A-*S-*C-＠ #</v>
      </c>
      <c r="N12" s="1" t="str">
        <f>IF(LEN(VersaPro!N12)=0,"",CHAR(10)&amp;"key *W-*A-*S-*C-m"&amp;MOD(ROW()-8,14)&amp;"-"&amp;VersaPro!N$5&amp;" = *W-*A-*S-*C-"&amp;VersaPro!N12&amp;" #")</f>
        <v xml:space="preserve">
key *W-*A-*S-*C-m4-RightAlt = *W-*A-*S-*C-＠ #</v>
      </c>
      <c r="O12" s="1" t="str">
        <f>IF(LEN(VersaPro!O12)=0,"",CHAR(10)&amp;"key *W-*A-*S-*C-m"&amp;MOD(ROW()-8,14)&amp;"-"&amp;VersaPro!O$5&amp;" = *W-*A-*S-*C-"&amp;VersaPro!O12&amp;" #")</f>
        <v/>
      </c>
      <c r="P12" s="1" t="str">
        <f>IF(LEN(VersaPro!P12)=0,"",CHAR(10)&amp;"key *W-*A-*S-*C-m"&amp;MOD(ROW()-8,14)&amp;"-"&amp;VersaPro!P$5&amp;" = *W-*A-*S-*C-"&amp;VersaPro!P12&amp;" #")</f>
        <v/>
      </c>
      <c r="Q12" s="1" t="str">
        <f>IF(LEN(VersaPro!Q12)=0,"",CHAR(10)&amp;"key *W-*A-*S-*C-m"&amp;MOD(ROW()-8,14)&amp;"-"&amp;VersaPro!Q$5&amp;" = *W-*A-*S-*C-"&amp;VersaPro!Q12&amp;" #")</f>
        <v/>
      </c>
      <c r="R12" s="1" t="str">
        <f>IF(LEN(VersaPro!R12)=0,"",CHAR(10)&amp;"key *W-*A-*S-*C-m"&amp;MOD(ROW()-8,14)&amp;"-"&amp;VersaPro!R$5&amp;" = *W-*A-*S-*C-"&amp;VersaPro!R12&amp;" #")</f>
        <v/>
      </c>
    </row>
    <row r="13" spans="1:18" x14ac:dyDescent="0.7">
      <c r="A13" s="1" t="str">
        <f t="shared" si="0"/>
        <v># mod5</v>
      </c>
      <c r="B13" s="1" t="str">
        <f>IF(LEN(VersaPro!B13)=0,"",CHAR(10)&amp;"key *W-*A-*S-*C-m"&amp;MOD(ROW()-8,14)&amp;"-"&amp;VersaPro!B$5&amp;" = *W-*A-*S-*C-"&amp;VersaPro!B13&amp;" #")</f>
        <v/>
      </c>
      <c r="C13" s="1" t="str">
        <f>IF(LEN(VersaPro!C13)=0,"",CHAR(10)&amp;"key *W-*A-*S-*C-m"&amp;MOD(ROW()-8,14)&amp;"-"&amp;VersaPro!C$5&amp;" = *W-*A-*S-*C-"&amp;VersaPro!C13&amp;" #")</f>
        <v xml:space="preserve">
key *W-*A-*S-*C-m5-LeftWindows = *W-*A-*S-*C-＠ #</v>
      </c>
      <c r="D13" s="1" t="str">
        <f>IF(LEN(VersaPro!D13)=0,"",CHAR(10)&amp;"key *W-*A-*S-*C-m"&amp;MOD(ROW()-8,14)&amp;"-"&amp;VersaPro!D$5&amp;" = *W-*A-*S-*C-"&amp;VersaPro!D13&amp;" #")</f>
        <v xml:space="preserve">
key *W-*A-*S-*C-m5-Esc = *W-*A-*S-*C-＠ #</v>
      </c>
      <c r="E13" s="1" t="str">
        <f>IF(LEN(VersaPro!E13)=0,"",CHAR(10)&amp;"key *W-*A-*S-*C-m"&amp;MOD(ROW()-8,14)&amp;"-"&amp;VersaPro!E$5&amp;" = *W-*A-*S-*C-"&amp;VersaPro!E13&amp;" #")</f>
        <v xml:space="preserve">
key *W-*A-*S-*C-m5-LeftControl = *W-*A-*S-*C-＠ #</v>
      </c>
      <c r="F13" s="1" t="str">
        <f>IF(LEN(VersaPro!F13)=0,"",CHAR(10)&amp;"key *W-*A-*S-*C-m"&amp;MOD(ROW()-8,14)&amp;"-"&amp;VersaPro!F$5&amp;" = *W-*A-*S-*C-"&amp;VersaPro!F13&amp;" #")</f>
        <v xml:space="preserve">
key *W-*A-*S-*C-m5-LeftAlt = *W-*A-*S-*C-＠ #</v>
      </c>
      <c r="G13" s="1" t="str">
        <f>IF(LEN(VersaPro!G13)=0,"",CHAR(10)&amp;"key *W-*A-*S-*C-m"&amp;MOD(ROW()-8,14)&amp;"-"&amp;VersaPro!G$5&amp;" = *W-*A-*S-*C-"&amp;VersaPro!G13&amp;" #")</f>
        <v xml:space="preserve">
key *W-*A-*S-*C-m5-BackSpace = *W-*A-*S-*C-＠ #</v>
      </c>
      <c r="H13" s="1" t="str">
        <f>IF(LEN(VersaPro!H13)=0,"",CHAR(10)&amp;"key *W-*A-*S-*C-m"&amp;MOD(ROW()-8,14)&amp;"-"&amp;VersaPro!H$5&amp;" = *W-*A-*S-*C-"&amp;VersaPro!H13&amp;" #")</f>
        <v xml:space="preserve">
key *W-*A-*S-*C-m5-Delete = *W-*A-*S-*C-＠ #</v>
      </c>
      <c r="I13" s="1" t="str">
        <f>IF(LEN(VersaPro!I13)=0,"",CHAR(10)&amp;"key *W-*A-*S-*C-m"&amp;MOD(ROW()-8,14)&amp;"-"&amp;VersaPro!I$5&amp;" = *W-*A-*S-*C-"&amp;VersaPro!I13&amp;" #")</f>
        <v/>
      </c>
      <c r="J13" s="1" t="str">
        <f>IF(LEN(VersaPro!J13)=0,"",CHAR(10)&amp;"key *W-*A-*S-*C-m"&amp;MOD(ROW()-8,14)&amp;"-"&amp;VersaPro!J$5&amp;" = *W-*A-*S-*C-"&amp;VersaPro!J13&amp;" #")</f>
        <v/>
      </c>
      <c r="K13" s="1" t="str">
        <f>IF(LEN(VersaPro!K13)=0,"",CHAR(10)&amp;"key *W-*A-*S-*C-m"&amp;MOD(ROW()-8,14)&amp;"-"&amp;VersaPro!K$5&amp;" = *W-*A-*S-*C-"&amp;VersaPro!K13&amp;" #")</f>
        <v/>
      </c>
      <c r="L13" s="1" t="str">
        <f>IF(LEN(VersaPro!L13)=0,"",CHAR(10)&amp;"key *W-*A-*S-*C-m"&amp;MOD(ROW()-8,14)&amp;"-"&amp;VersaPro!L$5&amp;" = *W-*A-*S-*C-"&amp;VersaPro!L13&amp;" #")</f>
        <v xml:space="preserve">
key *W-*A-*S-*C-m5-Tab = *W-*A-*S-*C-＠ #</v>
      </c>
      <c r="M13" s="1" t="str">
        <f>IF(LEN(VersaPro!M13)=0,"",CHAR(10)&amp;"key *W-*A-*S-*C-m"&amp;MOD(ROW()-8,14)&amp;"-"&amp;VersaPro!M$5&amp;" = *W-*A-*S-*C-"&amp;VersaPro!M13&amp;" #")</f>
        <v xml:space="preserve">
key *W-*A-*S-*C-m5-S-Tab = *W-*A-*S-*C-＠ #</v>
      </c>
      <c r="N13" s="1" t="str">
        <f>IF(LEN(VersaPro!N13)=0,"",CHAR(10)&amp;"key *W-*A-*S-*C-m"&amp;MOD(ROW()-8,14)&amp;"-"&amp;VersaPro!N$5&amp;" = *W-*A-*S-*C-"&amp;VersaPro!N13&amp;" #")</f>
        <v xml:space="preserve">
key *W-*A-*S-*C-m5-RightAlt = *W-*A-*S-*C-＠ #</v>
      </c>
      <c r="O13" s="1" t="str">
        <f>IF(LEN(VersaPro!O13)=0,"",CHAR(10)&amp;"key *W-*A-*S-*C-m"&amp;MOD(ROW()-8,14)&amp;"-"&amp;VersaPro!O$5&amp;" = *W-*A-*S-*C-"&amp;VersaPro!O13&amp;" #")</f>
        <v/>
      </c>
      <c r="P13" s="1" t="str">
        <f>IF(LEN(VersaPro!P13)=0,"",CHAR(10)&amp;"key *W-*A-*S-*C-m"&amp;MOD(ROW()-8,14)&amp;"-"&amp;VersaPro!P$5&amp;" = *W-*A-*S-*C-"&amp;VersaPro!P13&amp;" #")</f>
        <v/>
      </c>
      <c r="Q13" s="1" t="str">
        <f>IF(LEN(VersaPro!Q13)=0,"",CHAR(10)&amp;"key *W-*A-*S-*C-m"&amp;MOD(ROW()-8,14)&amp;"-"&amp;VersaPro!Q$5&amp;" = *W-*A-*S-*C-"&amp;VersaPro!Q13&amp;" #")</f>
        <v/>
      </c>
      <c r="R13" s="1" t="str">
        <f>IF(LEN(VersaPro!R13)=0,"",CHAR(10)&amp;"key *W-*A-*S-*C-m"&amp;MOD(ROW()-8,14)&amp;"-"&amp;VersaPro!R$5&amp;" = *W-*A-*S-*C-"&amp;VersaPro!R13&amp;" #")</f>
        <v/>
      </c>
    </row>
    <row r="14" spans="1:18" x14ac:dyDescent="0.7">
      <c r="A14" s="1" t="str">
        <f t="shared" si="0"/>
        <v># mod6</v>
      </c>
      <c r="B14" s="1" t="str">
        <f>IF(LEN(VersaPro!B14)=0,"",CHAR(10)&amp;"key *W-*A-*S-*C-m"&amp;MOD(ROW()-8,14)&amp;"-"&amp;VersaPro!B$5&amp;" = *W-*A-*S-*C-"&amp;VersaPro!B14&amp;" #")</f>
        <v/>
      </c>
      <c r="C14" s="1" t="str">
        <f>IF(LEN(VersaPro!C14)=0,"",CHAR(10)&amp;"key *W-*A-*S-*C-m"&amp;MOD(ROW()-8,14)&amp;"-"&amp;VersaPro!C$5&amp;" = *W-*A-*S-*C-"&amp;VersaPro!C14&amp;" #")</f>
        <v xml:space="preserve">
key *W-*A-*S-*C-m6-LeftWindows = *W-*A-*S-*C-＠ #</v>
      </c>
      <c r="D14" s="1" t="str">
        <f>IF(LEN(VersaPro!D14)=0,"",CHAR(10)&amp;"key *W-*A-*S-*C-m"&amp;MOD(ROW()-8,14)&amp;"-"&amp;VersaPro!D$5&amp;" = *W-*A-*S-*C-"&amp;VersaPro!D14&amp;" #")</f>
        <v xml:space="preserve">
key *W-*A-*S-*C-m6-Esc = *W-*A-*S-*C-＠ #</v>
      </c>
      <c r="E14" s="1" t="str">
        <f>IF(LEN(VersaPro!E14)=0,"",CHAR(10)&amp;"key *W-*A-*S-*C-m"&amp;MOD(ROW()-8,14)&amp;"-"&amp;VersaPro!E$5&amp;" = *W-*A-*S-*C-"&amp;VersaPro!E14&amp;" #")</f>
        <v xml:space="preserve">
key *W-*A-*S-*C-m6-LeftControl = *W-*A-*S-*C-＠ #</v>
      </c>
      <c r="F14" s="1" t="str">
        <f>IF(LEN(VersaPro!F14)=0,"",CHAR(10)&amp;"key *W-*A-*S-*C-m"&amp;MOD(ROW()-8,14)&amp;"-"&amp;VersaPro!F$5&amp;" = *W-*A-*S-*C-"&amp;VersaPro!F14&amp;" #")</f>
        <v xml:space="preserve">
key *W-*A-*S-*C-m6-LeftAlt = *W-*A-*S-*C-＠ #</v>
      </c>
      <c r="G14" s="1" t="str">
        <f>IF(LEN(VersaPro!G14)=0,"",CHAR(10)&amp;"key *W-*A-*S-*C-m"&amp;MOD(ROW()-8,14)&amp;"-"&amp;VersaPro!G$5&amp;" = *W-*A-*S-*C-"&amp;VersaPro!G14&amp;" #")</f>
        <v xml:space="preserve">
key *W-*A-*S-*C-m6-BackSpace = *W-*A-*S-*C-＠ #</v>
      </c>
      <c r="H14" s="1" t="str">
        <f>IF(LEN(VersaPro!H14)=0,"",CHAR(10)&amp;"key *W-*A-*S-*C-m"&amp;MOD(ROW()-8,14)&amp;"-"&amp;VersaPro!H$5&amp;" = *W-*A-*S-*C-"&amp;VersaPro!H14&amp;" #")</f>
        <v xml:space="preserve">
key *W-*A-*S-*C-m6-Delete = *W-*A-*S-*C-＠ #</v>
      </c>
      <c r="I14" s="1" t="str">
        <f>IF(LEN(VersaPro!I14)=0,"",CHAR(10)&amp;"key *W-*A-*S-*C-m"&amp;MOD(ROW()-8,14)&amp;"-"&amp;VersaPro!I$5&amp;" = *W-*A-*S-*C-"&amp;VersaPro!I14&amp;" #")</f>
        <v/>
      </c>
      <c r="J14" s="1" t="str">
        <f>IF(LEN(VersaPro!J14)=0,"",CHAR(10)&amp;"key *W-*A-*S-*C-m"&amp;MOD(ROW()-8,14)&amp;"-"&amp;VersaPro!J$5&amp;" = *W-*A-*S-*C-"&amp;VersaPro!J14&amp;" #")</f>
        <v/>
      </c>
      <c r="K14" s="1" t="str">
        <f>IF(LEN(VersaPro!K14)=0,"",CHAR(10)&amp;"key *W-*A-*S-*C-m"&amp;MOD(ROW()-8,14)&amp;"-"&amp;VersaPro!K$5&amp;" = *W-*A-*S-*C-"&amp;VersaPro!K14&amp;" #")</f>
        <v/>
      </c>
      <c r="L14" s="1" t="str">
        <f>IF(LEN(VersaPro!L14)=0,"",CHAR(10)&amp;"key *W-*A-*S-*C-m"&amp;MOD(ROW()-8,14)&amp;"-"&amp;VersaPro!L$5&amp;" = *W-*A-*S-*C-"&amp;VersaPro!L14&amp;" #")</f>
        <v xml:space="preserve">
key *W-*A-*S-*C-m6-Tab = *W-*A-*S-*C-＠ #</v>
      </c>
      <c r="M14" s="1" t="str">
        <f>IF(LEN(VersaPro!M14)=0,"",CHAR(10)&amp;"key *W-*A-*S-*C-m"&amp;MOD(ROW()-8,14)&amp;"-"&amp;VersaPro!M$5&amp;" = *W-*A-*S-*C-"&amp;VersaPro!M14&amp;" #")</f>
        <v xml:space="preserve">
key *W-*A-*S-*C-m6-S-Tab = *W-*A-*S-*C-＠ #</v>
      </c>
      <c r="N14" s="1" t="str">
        <f>IF(LEN(VersaPro!N14)=0,"",CHAR(10)&amp;"key *W-*A-*S-*C-m"&amp;MOD(ROW()-8,14)&amp;"-"&amp;VersaPro!N$5&amp;" = *W-*A-*S-*C-"&amp;VersaPro!N14&amp;" #")</f>
        <v xml:space="preserve">
key *W-*A-*S-*C-m6-RightAlt = *W-*A-*S-*C-＠ #</v>
      </c>
      <c r="O14" s="1" t="str">
        <f>IF(LEN(VersaPro!O14)=0,"",CHAR(10)&amp;"key *W-*A-*S-*C-m"&amp;MOD(ROW()-8,14)&amp;"-"&amp;VersaPro!O$5&amp;" = *W-*A-*S-*C-"&amp;VersaPro!O14&amp;" #")</f>
        <v/>
      </c>
      <c r="P14" s="1" t="str">
        <f>IF(LEN(VersaPro!P14)=0,"",CHAR(10)&amp;"key *W-*A-*S-*C-m"&amp;MOD(ROW()-8,14)&amp;"-"&amp;VersaPro!P$5&amp;" = *W-*A-*S-*C-"&amp;VersaPro!P14&amp;" #")</f>
        <v/>
      </c>
      <c r="Q14" s="1" t="str">
        <f>IF(LEN(VersaPro!Q14)=0,"",CHAR(10)&amp;"key *W-*A-*S-*C-m"&amp;MOD(ROW()-8,14)&amp;"-"&amp;VersaPro!Q$5&amp;" = *W-*A-*S-*C-"&amp;VersaPro!Q14&amp;" #")</f>
        <v/>
      </c>
      <c r="R14" s="1" t="str">
        <f>IF(LEN(VersaPro!R14)=0,"",CHAR(10)&amp;"key *W-*A-*S-*C-m"&amp;MOD(ROW()-8,14)&amp;"-"&amp;VersaPro!R$5&amp;" = *W-*A-*S-*C-"&amp;VersaPro!R14&amp;" #")</f>
        <v/>
      </c>
    </row>
    <row r="15" spans="1:18" x14ac:dyDescent="0.7">
      <c r="A15" s="1" t="str">
        <f t="shared" si="0"/>
        <v># mod7</v>
      </c>
      <c r="B15" s="1" t="str">
        <f>IF(LEN(VersaPro!B15)=0,"",CHAR(10)&amp;"key *W-*A-*S-*C-m"&amp;MOD(ROW()-8,14)&amp;"-"&amp;VersaPro!B$5&amp;" = *W-*A-*S-*C-"&amp;VersaPro!B15&amp;" #")</f>
        <v/>
      </c>
      <c r="C15" s="1" t="str">
        <f>IF(LEN(VersaPro!C15)=0,"",CHAR(10)&amp;"key *W-*A-*S-*C-m"&amp;MOD(ROW()-8,14)&amp;"-"&amp;VersaPro!C$5&amp;" = *W-*A-*S-*C-"&amp;VersaPro!C15&amp;" #")</f>
        <v xml:space="preserve">
key *W-*A-*S-*C-m7-LeftWindows = *W-*A-*S-*C-＠ #</v>
      </c>
      <c r="D15" s="1" t="str">
        <f>IF(LEN(VersaPro!D15)=0,"",CHAR(10)&amp;"key *W-*A-*S-*C-m"&amp;MOD(ROW()-8,14)&amp;"-"&amp;VersaPro!D$5&amp;" = *W-*A-*S-*C-"&amp;VersaPro!D15&amp;" #")</f>
        <v xml:space="preserve">
key *W-*A-*S-*C-m7-Esc = *W-*A-*S-*C-＠ #</v>
      </c>
      <c r="E15" s="1" t="str">
        <f>IF(LEN(VersaPro!E15)=0,"",CHAR(10)&amp;"key *W-*A-*S-*C-m"&amp;MOD(ROW()-8,14)&amp;"-"&amp;VersaPro!E$5&amp;" = *W-*A-*S-*C-"&amp;VersaPro!E15&amp;" #")</f>
        <v xml:space="preserve">
key *W-*A-*S-*C-m7-LeftControl = *W-*A-*S-*C-＠ #</v>
      </c>
      <c r="F15" s="1" t="str">
        <f>IF(LEN(VersaPro!F15)=0,"",CHAR(10)&amp;"key *W-*A-*S-*C-m"&amp;MOD(ROW()-8,14)&amp;"-"&amp;VersaPro!F$5&amp;" = *W-*A-*S-*C-"&amp;VersaPro!F15&amp;" #")</f>
        <v xml:space="preserve">
key *W-*A-*S-*C-m7-LeftAlt = *W-*A-*S-*C-＠ #</v>
      </c>
      <c r="G15" s="1" t="str">
        <f>IF(LEN(VersaPro!G15)=0,"",CHAR(10)&amp;"key *W-*A-*S-*C-m"&amp;MOD(ROW()-8,14)&amp;"-"&amp;VersaPro!G$5&amp;" = *W-*A-*S-*C-"&amp;VersaPro!G15&amp;" #")</f>
        <v xml:space="preserve">
key *W-*A-*S-*C-m7-BackSpace = *W-*A-*S-*C-＠ #</v>
      </c>
      <c r="H15" s="1" t="str">
        <f>IF(LEN(VersaPro!H15)=0,"",CHAR(10)&amp;"key *W-*A-*S-*C-m"&amp;MOD(ROW()-8,14)&amp;"-"&amp;VersaPro!H$5&amp;" = *W-*A-*S-*C-"&amp;VersaPro!H15&amp;" #")</f>
        <v xml:space="preserve">
key *W-*A-*S-*C-m7-Delete = *W-*A-*S-*C-＠ #</v>
      </c>
      <c r="I15" s="1" t="str">
        <f>IF(LEN(VersaPro!I15)=0,"",CHAR(10)&amp;"key *W-*A-*S-*C-m"&amp;MOD(ROW()-8,14)&amp;"-"&amp;VersaPro!I$5&amp;" = *W-*A-*S-*C-"&amp;VersaPro!I15&amp;" #")</f>
        <v/>
      </c>
      <c r="J15" s="1" t="str">
        <f>IF(LEN(VersaPro!J15)=0,"",CHAR(10)&amp;"key *W-*A-*S-*C-m"&amp;MOD(ROW()-8,14)&amp;"-"&amp;VersaPro!J$5&amp;" = *W-*A-*S-*C-"&amp;VersaPro!J15&amp;" #")</f>
        <v/>
      </c>
      <c r="K15" s="1" t="str">
        <f>IF(LEN(VersaPro!K15)=0,"",CHAR(10)&amp;"key *W-*A-*S-*C-m"&amp;MOD(ROW()-8,14)&amp;"-"&amp;VersaPro!K$5&amp;" = *W-*A-*S-*C-"&amp;VersaPro!K15&amp;" #")</f>
        <v/>
      </c>
      <c r="L15" s="1" t="str">
        <f>IF(LEN(VersaPro!L15)=0,"",CHAR(10)&amp;"key *W-*A-*S-*C-m"&amp;MOD(ROW()-8,14)&amp;"-"&amp;VersaPro!L$5&amp;" = *W-*A-*S-*C-"&amp;VersaPro!L15&amp;" #")</f>
        <v xml:space="preserve">
key *W-*A-*S-*C-m7-Tab = *W-*A-*S-*C-＠ #</v>
      </c>
      <c r="M15" s="1" t="str">
        <f>IF(LEN(VersaPro!M15)=0,"",CHAR(10)&amp;"key *W-*A-*S-*C-m"&amp;MOD(ROW()-8,14)&amp;"-"&amp;VersaPro!M$5&amp;" = *W-*A-*S-*C-"&amp;VersaPro!M15&amp;" #")</f>
        <v xml:space="preserve">
key *W-*A-*S-*C-m7-S-Tab = *W-*A-*S-*C-＠ #</v>
      </c>
      <c r="N15" s="1" t="str">
        <f>IF(LEN(VersaPro!N15)=0,"",CHAR(10)&amp;"key *W-*A-*S-*C-m"&amp;MOD(ROW()-8,14)&amp;"-"&amp;VersaPro!N$5&amp;" = *W-*A-*S-*C-"&amp;VersaPro!N15&amp;" #")</f>
        <v xml:space="preserve">
key *W-*A-*S-*C-m7-RightAlt = *W-*A-*S-*C-＠ #</v>
      </c>
      <c r="O15" s="1" t="str">
        <f>IF(LEN(VersaPro!O15)=0,"",CHAR(10)&amp;"key *W-*A-*S-*C-m"&amp;MOD(ROW()-8,14)&amp;"-"&amp;VersaPro!O$5&amp;" = *W-*A-*S-*C-"&amp;VersaPro!O15&amp;" #")</f>
        <v/>
      </c>
      <c r="P15" s="1" t="str">
        <f>IF(LEN(VersaPro!P15)=0,"",CHAR(10)&amp;"key *W-*A-*S-*C-m"&amp;MOD(ROW()-8,14)&amp;"-"&amp;VersaPro!P$5&amp;" = *W-*A-*S-*C-"&amp;VersaPro!P15&amp;" #")</f>
        <v/>
      </c>
      <c r="Q15" s="1" t="str">
        <f>IF(LEN(VersaPro!Q15)=0,"",CHAR(10)&amp;"key *W-*A-*S-*C-m"&amp;MOD(ROW()-8,14)&amp;"-"&amp;VersaPro!Q$5&amp;" = *W-*A-*S-*C-"&amp;VersaPro!Q15&amp;" #")</f>
        <v/>
      </c>
      <c r="R15" s="1" t="str">
        <f>IF(LEN(VersaPro!R15)=0,"",CHAR(10)&amp;"key *W-*A-*S-*C-m"&amp;MOD(ROW()-8,14)&amp;"-"&amp;VersaPro!R$5&amp;" = *W-*A-*S-*C-"&amp;VersaPro!R15&amp;" #")</f>
        <v/>
      </c>
    </row>
    <row r="16" spans="1:18" x14ac:dyDescent="0.7">
      <c r="A16" s="1" t="str">
        <f t="shared" si="0"/>
        <v># mod8</v>
      </c>
      <c r="B16" s="1" t="str">
        <f>IF(LEN(VersaPro!B16)=0,"",CHAR(10)&amp;"key *W-*A-*S-*C-m"&amp;MOD(ROW()-8,14)&amp;"-"&amp;VersaPro!B$5&amp;" = *W-*A-*S-*C-"&amp;VersaPro!B16&amp;" #")</f>
        <v/>
      </c>
      <c r="C16" s="1" t="str">
        <f>IF(LEN(VersaPro!C16)=0,"",CHAR(10)&amp;"key *W-*A-*S-*C-m"&amp;MOD(ROW()-8,14)&amp;"-"&amp;VersaPro!C$5&amp;" = *W-*A-*S-*C-"&amp;VersaPro!C16&amp;" #")</f>
        <v xml:space="preserve">
key *W-*A-*S-*C-m8-LeftWindows = *W-*A-*S-*C-＠ #</v>
      </c>
      <c r="D16" s="1" t="str">
        <f>IF(LEN(VersaPro!D16)=0,"",CHAR(10)&amp;"key *W-*A-*S-*C-m"&amp;MOD(ROW()-8,14)&amp;"-"&amp;VersaPro!D$5&amp;" = *W-*A-*S-*C-"&amp;VersaPro!D16&amp;" #")</f>
        <v xml:space="preserve">
key *W-*A-*S-*C-m8-Esc = *W-*A-*S-*C-C-← #</v>
      </c>
      <c r="E16" s="1" t="str">
        <f>IF(LEN(VersaPro!E16)=0,"",CHAR(10)&amp;"key *W-*A-*S-*C-m"&amp;MOD(ROW()-8,14)&amp;"-"&amp;VersaPro!E$5&amp;" = *W-*A-*S-*C-"&amp;VersaPro!E16&amp;" #")</f>
        <v xml:space="preserve">
key *W-*A-*S-*C-m8-LeftControl = *W-*A-*S-*C-C-→ #</v>
      </c>
      <c r="F16" s="1" t="str">
        <f>IF(LEN(VersaPro!F16)=0,"",CHAR(10)&amp;"key *W-*A-*S-*C-m"&amp;MOD(ROW()-8,14)&amp;"-"&amp;VersaPro!F$5&amp;" = *W-*A-*S-*C-"&amp;VersaPro!F16&amp;" #")</f>
        <v xml:space="preserve">
key *W-*A-*S-*C-m8-LeftAlt = *W-*A-*S-*C-C-↓ #</v>
      </c>
      <c r="G16" s="1" t="str">
        <f>IF(LEN(VersaPro!G16)=0,"",CHAR(10)&amp;"key *W-*A-*S-*C-m"&amp;MOD(ROW()-8,14)&amp;"-"&amp;VersaPro!G$5&amp;" = *W-*A-*S-*C-"&amp;VersaPro!G16&amp;" #")</f>
        <v xml:space="preserve">
key *W-*A-*S-*C-m8-BackSpace = *W-*A-*S-*C-C-↑ #</v>
      </c>
      <c r="H16" s="1" t="str">
        <f>IF(LEN(VersaPro!H16)=0,"",CHAR(10)&amp;"key *W-*A-*S-*C-m"&amp;MOD(ROW()-8,14)&amp;"-"&amp;VersaPro!H$5&amp;" = *W-*A-*S-*C-"&amp;VersaPro!H16&amp;" #")</f>
        <v xml:space="preserve">
key *W-*A-*S-*C-m8-Delete = *W-*A-*S-*C-＠ #</v>
      </c>
      <c r="I16" s="1" t="str">
        <f>IF(LEN(VersaPro!I16)=0,"",CHAR(10)&amp;"key *W-*A-*S-*C-m"&amp;MOD(ROW()-8,14)&amp;"-"&amp;VersaPro!I$5&amp;" = *W-*A-*S-*C-"&amp;VersaPro!I16&amp;" #")</f>
        <v/>
      </c>
      <c r="J16" s="1" t="str">
        <f>IF(LEN(VersaPro!J16)=0,"",CHAR(10)&amp;"key *W-*A-*S-*C-m"&amp;MOD(ROW()-8,14)&amp;"-"&amp;VersaPro!J$5&amp;" = *W-*A-*S-*C-"&amp;VersaPro!J16&amp;" #")</f>
        <v/>
      </c>
      <c r="K16" s="1" t="str">
        <f>IF(LEN(VersaPro!K16)=0,"",CHAR(10)&amp;"key *W-*A-*S-*C-m"&amp;MOD(ROW()-8,14)&amp;"-"&amp;VersaPro!K$5&amp;" = *W-*A-*S-*C-"&amp;VersaPro!K16&amp;" #")</f>
        <v/>
      </c>
      <c r="L16" s="1" t="str">
        <f>IF(LEN(VersaPro!L16)=0,"",CHAR(10)&amp;"key *W-*A-*S-*C-m"&amp;MOD(ROW()-8,14)&amp;"-"&amp;VersaPro!L$5&amp;" = *W-*A-*S-*C-"&amp;VersaPro!L16&amp;" #")</f>
        <v xml:space="preserve">
key *W-*A-*S-*C-m8-Tab = *W-*A-*S-*C-＠ #</v>
      </c>
      <c r="M16" s="1" t="str">
        <f>IF(LEN(VersaPro!M16)=0,"",CHAR(10)&amp;"key *W-*A-*S-*C-m"&amp;MOD(ROW()-8,14)&amp;"-"&amp;VersaPro!M$5&amp;" = *W-*A-*S-*C-"&amp;VersaPro!M16&amp;" #")</f>
        <v xml:space="preserve">
key *W-*A-*S-*C-m8-S-Tab = *W-*A-*S-*C-＠ #</v>
      </c>
      <c r="N16" s="1" t="str">
        <f>IF(LEN(VersaPro!N16)=0,"",CHAR(10)&amp;"key *W-*A-*S-*C-m"&amp;MOD(ROW()-8,14)&amp;"-"&amp;VersaPro!N$5&amp;" = *W-*A-*S-*C-"&amp;VersaPro!N16&amp;" #")</f>
        <v xml:space="preserve">
key *W-*A-*S-*C-m8-RightAlt = *W-*A-*S-*C-＠ #</v>
      </c>
      <c r="O16" s="1" t="str">
        <f>IF(LEN(VersaPro!O16)=0,"",CHAR(10)&amp;"key *W-*A-*S-*C-m"&amp;MOD(ROW()-8,14)&amp;"-"&amp;VersaPro!O$5&amp;" = *W-*A-*S-*C-"&amp;VersaPro!O16&amp;" #")</f>
        <v/>
      </c>
      <c r="P16" s="1" t="str">
        <f>IF(LEN(VersaPro!P16)=0,"",CHAR(10)&amp;"key *W-*A-*S-*C-m"&amp;MOD(ROW()-8,14)&amp;"-"&amp;VersaPro!P$5&amp;" = *W-*A-*S-*C-"&amp;VersaPro!P16&amp;" #")</f>
        <v/>
      </c>
      <c r="Q16" s="1" t="str">
        <f>IF(LEN(VersaPro!Q16)=0,"",CHAR(10)&amp;"key *W-*A-*S-*C-m"&amp;MOD(ROW()-8,14)&amp;"-"&amp;VersaPro!Q$5&amp;" = *W-*A-*S-*C-"&amp;VersaPro!Q16&amp;" #")</f>
        <v/>
      </c>
      <c r="R16" s="1" t="str">
        <f>IF(LEN(VersaPro!R16)=0,"",CHAR(10)&amp;"key *W-*A-*S-*C-m"&amp;MOD(ROW()-8,14)&amp;"-"&amp;VersaPro!R$5&amp;" = *W-*A-*S-*C-"&amp;VersaPro!R16&amp;" #")</f>
        <v/>
      </c>
    </row>
    <row r="17" spans="1:18" x14ac:dyDescent="0.7">
      <c r="A17" s="1" t="str">
        <f t="shared" si="0"/>
        <v># mod9</v>
      </c>
      <c r="B17" s="1" t="str">
        <f>IF(LEN(VersaPro!B17)=0,"",CHAR(10)&amp;"key *W-*A-*S-*C-m"&amp;MOD(ROW()-8,14)&amp;"-"&amp;VersaPro!B$5&amp;" = *W-*A-*S-*C-"&amp;VersaPro!B17&amp;" #")</f>
        <v/>
      </c>
      <c r="C17" s="1" t="str">
        <f>IF(LEN(VersaPro!C17)=0,"",CHAR(10)&amp;"key *W-*A-*S-*C-m"&amp;MOD(ROW()-8,14)&amp;"-"&amp;VersaPro!C$5&amp;" = *W-*A-*S-*C-"&amp;VersaPro!C17&amp;" #")</f>
        <v xml:space="preserve">
key *W-*A-*S-*C-m9-LeftWindows = *W-*A-*S-*C-＠ #</v>
      </c>
      <c r="D17" s="1" t="str">
        <f>IF(LEN(VersaPro!D17)=0,"",CHAR(10)&amp;"key *W-*A-*S-*C-m"&amp;MOD(ROW()-8,14)&amp;"-"&amp;VersaPro!D$5&amp;" = *W-*A-*S-*C-"&amp;VersaPro!D17&amp;" #")</f>
        <v xml:space="preserve">
key *W-*A-*S-*C-m9-Esc = *W-*A-*S-*C-＠ #</v>
      </c>
      <c r="E17" s="1" t="str">
        <f>IF(LEN(VersaPro!E17)=0,"",CHAR(10)&amp;"key *W-*A-*S-*C-m"&amp;MOD(ROW()-8,14)&amp;"-"&amp;VersaPro!E$5&amp;" = *W-*A-*S-*C-"&amp;VersaPro!E17&amp;" #")</f>
        <v xml:space="preserve">
key *W-*A-*S-*C-m9-LeftControl = *W-*A-*S-*C-＠ #</v>
      </c>
      <c r="F17" s="1" t="str">
        <f>IF(LEN(VersaPro!F17)=0,"",CHAR(10)&amp;"key *W-*A-*S-*C-m"&amp;MOD(ROW()-8,14)&amp;"-"&amp;VersaPro!F$5&amp;" = *W-*A-*S-*C-"&amp;VersaPro!F17&amp;" #")</f>
        <v xml:space="preserve">
key *W-*A-*S-*C-m9-LeftAlt = *W-*A-*S-*C-＠ #</v>
      </c>
      <c r="G17" s="1" t="str">
        <f>IF(LEN(VersaPro!G17)=0,"",CHAR(10)&amp;"key *W-*A-*S-*C-m"&amp;MOD(ROW()-8,14)&amp;"-"&amp;VersaPro!G$5&amp;" = *W-*A-*S-*C-"&amp;VersaPro!G17&amp;" #")</f>
        <v xml:space="preserve">
key *W-*A-*S-*C-m9-BackSpace = *W-*A-*S-*C-＠ #</v>
      </c>
      <c r="H17" s="1" t="str">
        <f>IF(LEN(VersaPro!H17)=0,"",CHAR(10)&amp;"key *W-*A-*S-*C-m"&amp;MOD(ROW()-8,14)&amp;"-"&amp;VersaPro!H$5&amp;" = *W-*A-*S-*C-"&amp;VersaPro!H17&amp;" #")</f>
        <v xml:space="preserve">
key *W-*A-*S-*C-m9-Delete = *W-*A-*S-*C-＠ #</v>
      </c>
      <c r="I17" s="1" t="str">
        <f>IF(LEN(VersaPro!I17)=0,"",CHAR(10)&amp;"key *W-*A-*S-*C-m"&amp;MOD(ROW()-8,14)&amp;"-"&amp;VersaPro!I$5&amp;" = *W-*A-*S-*C-"&amp;VersaPro!I17&amp;" #")</f>
        <v/>
      </c>
      <c r="J17" s="1" t="str">
        <f>IF(LEN(VersaPro!J17)=0,"",CHAR(10)&amp;"key *W-*A-*S-*C-m"&amp;MOD(ROW()-8,14)&amp;"-"&amp;VersaPro!J$5&amp;" = *W-*A-*S-*C-"&amp;VersaPro!J17&amp;" #")</f>
        <v/>
      </c>
      <c r="K17" s="1" t="str">
        <f>IF(LEN(VersaPro!K17)=0,"",CHAR(10)&amp;"key *W-*A-*S-*C-m"&amp;MOD(ROW()-8,14)&amp;"-"&amp;VersaPro!K$5&amp;" = *W-*A-*S-*C-"&amp;VersaPro!K17&amp;" #")</f>
        <v/>
      </c>
      <c r="L17" s="1" t="str">
        <f>IF(LEN(VersaPro!L17)=0,"",CHAR(10)&amp;"key *W-*A-*S-*C-m"&amp;MOD(ROW()-8,14)&amp;"-"&amp;VersaPro!L$5&amp;" = *W-*A-*S-*C-"&amp;VersaPro!L17&amp;" #")</f>
        <v xml:space="preserve">
key *W-*A-*S-*C-m9-Tab = *W-*A-*S-*C-＠ #</v>
      </c>
      <c r="M17" s="1" t="str">
        <f>IF(LEN(VersaPro!M17)=0,"",CHAR(10)&amp;"key *W-*A-*S-*C-m"&amp;MOD(ROW()-8,14)&amp;"-"&amp;VersaPro!M$5&amp;" = *W-*A-*S-*C-"&amp;VersaPro!M17&amp;" #")</f>
        <v xml:space="preserve">
key *W-*A-*S-*C-m9-S-Tab = *W-*A-*S-*C-＠ #</v>
      </c>
      <c r="N17" s="1" t="str">
        <f>IF(LEN(VersaPro!N17)=0,"",CHAR(10)&amp;"key *W-*A-*S-*C-m"&amp;MOD(ROW()-8,14)&amp;"-"&amp;VersaPro!N$5&amp;" = *W-*A-*S-*C-"&amp;VersaPro!N17&amp;" #")</f>
        <v xml:space="preserve">
key *W-*A-*S-*C-m9-RightAlt = *W-*A-*S-*C-＠ #</v>
      </c>
      <c r="O17" s="1" t="str">
        <f>IF(LEN(VersaPro!O17)=0,"",CHAR(10)&amp;"key *W-*A-*S-*C-m"&amp;MOD(ROW()-8,14)&amp;"-"&amp;VersaPro!O$5&amp;" = *W-*A-*S-*C-"&amp;VersaPro!O17&amp;" #")</f>
        <v/>
      </c>
      <c r="P17" s="1" t="str">
        <f>IF(LEN(VersaPro!P17)=0,"",CHAR(10)&amp;"key *W-*A-*S-*C-m"&amp;MOD(ROW()-8,14)&amp;"-"&amp;VersaPro!P$5&amp;" = *W-*A-*S-*C-"&amp;VersaPro!P17&amp;" #")</f>
        <v/>
      </c>
      <c r="Q17" s="1" t="str">
        <f>IF(LEN(VersaPro!Q17)=0,"",CHAR(10)&amp;"key *W-*A-*S-*C-m"&amp;MOD(ROW()-8,14)&amp;"-"&amp;VersaPro!Q$5&amp;" = *W-*A-*S-*C-"&amp;VersaPro!Q17&amp;" #")</f>
        <v/>
      </c>
      <c r="R17" s="1" t="str">
        <f>IF(LEN(VersaPro!R17)=0,"",CHAR(10)&amp;"key *W-*A-*S-*C-m"&amp;MOD(ROW()-8,14)&amp;"-"&amp;VersaPro!R$5&amp;" = *W-*A-*S-*C-"&amp;VersaPro!R17&amp;" #")</f>
        <v/>
      </c>
    </row>
    <row r="18" spans="1:18" x14ac:dyDescent="0.7">
      <c r="A18" s="1" t="s">
        <v>153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7">
      <c r="A19" s="1" t="s">
        <v>153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7">
      <c r="A20" s="1" t="s">
        <v>142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7">
      <c r="A21" s="1" t="s">
        <v>229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7">
      <c r="A22" s="1" t="str">
        <f t="shared" ref="A22:A31" si="1" xml:space="preserve"> "# mod"&amp;MOD(ROW()-8,14)</f>
        <v># mod0</v>
      </c>
      <c r="B22" s="1" t="str">
        <f>IF(LEN(VersaPro!B22)=0,"",CHAR(10)&amp;"key *W-*A-*S-*C-m"&amp;MOD(ROW()-8,14)&amp;"-"&amp;VersaPro!B$19&amp;" = *W-*A-*S-*C-"&amp;VersaPro!B22&amp;" #")</f>
        <v/>
      </c>
      <c r="C22" s="1" t="str">
        <f>IF(LEN(VersaPro!C22)=0,"",CHAR(10)&amp;"key *W-*A-*S-*C-m"&amp;MOD(ROW()-8,14)&amp;"-"&amp;VersaPro!C$19&amp;" = *W-*A-*S-*C-"&amp;VersaPro!C22&amp;" #")</f>
        <v/>
      </c>
      <c r="D22" s="1" t="str">
        <f>IF(LEN(VersaPro!D22)=0,"",CHAR(10)&amp;"key *W-*A-*S-*C-m"&amp;MOD(ROW()-8,14)&amp;"-"&amp;VersaPro!D$19&amp;" = *W-*A-*S-*C-"&amp;VersaPro!D22&amp;" #")</f>
        <v xml:space="preserve">
key *W-*A-*S-*C-m0-Colon = *W-*A-*S-*C-← #</v>
      </c>
      <c r="E22" s="1" t="str">
        <f>IF(LEN(VersaPro!E22)=0,"",CHAR(10)&amp;"key *W-*A-*S-*C-m"&amp;MOD(ROW()-8,14)&amp;"-"&amp;VersaPro!E$19&amp;" = *W-*A-*S-*C-"&amp;VersaPro!E22&amp;" #")</f>
        <v xml:space="preserve">
key *W-*A-*S-*C-m0-Comma = *W-*A-*S-*C-→ #</v>
      </c>
      <c r="F22" s="1" t="str">
        <f>IF(LEN(VersaPro!F22)=0,"",CHAR(10)&amp;"key *W-*A-*S-*C-m"&amp;MOD(ROW()-8,14)&amp;"-"&amp;VersaPro!F$19&amp;" = *W-*A-*S-*C-"&amp;VersaPro!F22&amp;" #")</f>
        <v xml:space="preserve">
key *W-*A-*S-*C-m0-。 = *W-*A-*S-*C-↓ #</v>
      </c>
      <c r="G22" s="1" t="str">
        <f>IF(LEN(VersaPro!G22)=0,"",CHAR(10)&amp;"key *W-*A-*S-*C-m"&amp;MOD(ROW()-8,14)&amp;"-"&amp;VersaPro!G$19&amp;" = *W-*A-*S-*C-"&amp;VersaPro!G22&amp;" #")</f>
        <v xml:space="preserve">
key *W-*A-*S-*C-m0-P = *W-*A-*S-*C-↑ #</v>
      </c>
      <c r="H22" s="1" t="str">
        <f>IF(LEN(VersaPro!H22)=0,"",CHAR(10)&amp;"key *W-*A-*S-*C-m"&amp;MOD(ROW()-8,14)&amp;"-"&amp;VersaPro!H$19&amp;" = *W-*A-*S-*C-"&amp;VersaPro!H22&amp;" #")</f>
        <v xml:space="preserve">
key *W-*A-*S-*C-m0-Y = *W-*A-*S-*C-A-S-C-Y #</v>
      </c>
      <c r="I22" s="1" t="str">
        <f>IF(LEN(VersaPro!I22)=0,"",CHAR(10)&amp;"key *W-*A-*S-*C-m"&amp;MOD(ROW()-8,14)&amp;"-"&amp;VersaPro!I$19&amp;" = *W-*A-*S-*C-"&amp;VersaPro!I22&amp;" #")</f>
        <v xml:space="preserve">
key *W-*A-*S-*C-m0-F = *W-*A-*S-*C-＠ #</v>
      </c>
      <c r="J22" s="1" t="str">
        <f>IF(LEN(VersaPro!J22)=0,"",CHAR(10)&amp;"key *W-*A-*S-*C-m"&amp;MOD(ROW()-8,14)&amp;"-"&amp;VersaPro!J$19&amp;" = *W-*A-*S-*C-"&amp;VersaPro!J22&amp;" #")</f>
        <v xml:space="preserve">
key *W-*A-*S-*C-m0-G = *W-*A-*S-*C-家 #</v>
      </c>
      <c r="K22" s="1" t="str">
        <f>IF(LEN(VersaPro!K22)=0,"",CHAR(10)&amp;"key *W-*A-*S-*C-m"&amp;MOD(ROW()-8,14)&amp;"-"&amp;VersaPro!K$19&amp;" = *W-*A-*S-*C-"&amp;VersaPro!K22&amp;" #")</f>
        <v xml:space="preserve">
key *W-*A-*S-*C-m0-C = *W-*A-*S-*C-終 #</v>
      </c>
      <c r="L22" s="1" t="str">
        <f>IF(LEN(VersaPro!L22)=0,"",CHAR(10)&amp;"key *W-*A-*S-*C-m"&amp;MOD(ROW()-8,14)&amp;"-"&amp;VersaPro!L$19&amp;" = *W-*A-*S-*C-"&amp;VersaPro!L22&amp;" #")</f>
        <v xml:space="preserve">
key *W-*A-*S-*C-m0-R = *W-*A-*S-*C-＠ #</v>
      </c>
      <c r="M22" s="1" t="str">
        <f>IF(LEN(VersaPro!M22)=0,"",CHAR(10)&amp;"key *W-*A-*S-*C-m"&amp;MOD(ROW()-8,14)&amp;"-"&amp;VersaPro!M$19&amp;" = *W-*A-*S-*C-"&amp;VersaPro!M22&amp;" #")</f>
        <v xml:space="preserve">
key *W-*A-*S-*C-m0-L = *W-*A-*S-*C-＠ #</v>
      </c>
      <c r="N22" s="1" t="str">
        <f>IF(LEN(VersaPro!N22)=0,"",CHAR(10)&amp;"key *W-*A-*S-*C-m"&amp;MOD(ROW()-8,14)&amp;"-"&amp;VersaPro!N$19&amp;" = *W-*A-*S-*C-"&amp;VersaPro!N22&amp;" #")</f>
        <v xml:space="preserve">
key *W-*A-*S-*C-m0-／ = *W-*A-*S-*C-＠ #</v>
      </c>
      <c r="O22" s="1" t="str">
        <f>IF(LEN(VersaPro!O22)=0,"",CHAR(10)&amp;"key *W-*A-*S-*C-m"&amp;MOD(ROW()-8,14)&amp;"-"&amp;VersaPro!O$19&amp;" = *W-*A-*S-*C-"&amp;VersaPro!O22&amp;" #")</f>
        <v/>
      </c>
      <c r="P22" s="1" t="str">
        <f>IF(LEN(VersaPro!P22)=0,"",CHAR(10)&amp;"key *W-*A-*S-*C-m"&amp;MOD(ROW()-8,14)&amp;"-"&amp;VersaPro!P$19&amp;" = *W-*A-*S-*C-"&amp;VersaPro!P22&amp;" #")</f>
        <v/>
      </c>
      <c r="Q22" s="1" t="str">
        <f>IF(LEN(VersaPro!Q22)=0,"",CHAR(10)&amp;"key *W-*A-*S-*C-m"&amp;MOD(ROW()-8,14)&amp;"-"&amp;VersaPro!Q$19&amp;" = *W-*A-*S-*C-"&amp;VersaPro!Q22&amp;" #")</f>
        <v/>
      </c>
      <c r="R22" s="1" t="str">
        <f>IF(LEN(VersaPro!R22)=0,"",CHAR(10)&amp;"key *W-*A-*S-*C-m"&amp;MOD(ROW()-8,14)&amp;"-"&amp;VersaPro!R$19&amp;" = *W-*A-*S-*C-"&amp;VersaPro!R22&amp;" #")</f>
        <v/>
      </c>
    </row>
    <row r="23" spans="1:18" x14ac:dyDescent="0.7">
      <c r="A23" s="1" t="str">
        <f t="shared" si="1"/>
        <v># mod1</v>
      </c>
      <c r="B23" s="1" t="str">
        <f>IF(LEN(VersaPro!B23)=0,"",CHAR(10)&amp;"key *W-*A-*S-*C-m"&amp;MOD(ROW()-8,14)&amp;"-"&amp;VersaPro!B$19&amp;" = *W-*A-*S-*C-"&amp;VersaPro!B23&amp;" #")</f>
        <v/>
      </c>
      <c r="C23" s="1" t="str">
        <f>IF(LEN(VersaPro!C23)=0,"",CHAR(10)&amp;"key *W-*A-*S-*C-m"&amp;MOD(ROW()-8,14)&amp;"-"&amp;VersaPro!C$19&amp;" = *W-*A-*S-*C-"&amp;VersaPro!C23&amp;" #")</f>
        <v/>
      </c>
      <c r="D23" s="1" t="str">
        <f>IF(LEN(VersaPro!D23)=0,"",CHAR(10)&amp;"key *W-*A-*S-*C-m"&amp;MOD(ROW()-8,14)&amp;"-"&amp;VersaPro!D$19&amp;" = *W-*A-*S-*C-"&amp;VersaPro!D23&amp;" #")</f>
        <v xml:space="preserve">
key *W-*A-*S-*C-m1-Colon = *W-*A-*S-*C-L #</v>
      </c>
      <c r="E23" s="1" t="str">
        <f>IF(LEN(VersaPro!E23)=0,"",CHAR(10)&amp;"key *W-*A-*S-*C-m"&amp;MOD(ROW()-8,14)&amp;"-"&amp;VersaPro!E$19&amp;" = *W-*A-*S-*C-"&amp;VersaPro!E23&amp;" #")</f>
        <v xml:space="preserve">
key *W-*A-*S-*C-m1-Comma = *W-*A-*S-*C-R #</v>
      </c>
      <c r="F23" s="1" t="str">
        <f>IF(LEN(VersaPro!F23)=0,"",CHAR(10)&amp;"key *W-*A-*S-*C-m"&amp;MOD(ROW()-8,14)&amp;"-"&amp;VersaPro!F$19&amp;" = *W-*A-*S-*C-"&amp;VersaPro!F23&amp;" #")</f>
        <v xml:space="preserve">
key *W-*A-*S-*C-m1-。 = *W-*A-*S-*C-C #</v>
      </c>
      <c r="G23" s="1" t="str">
        <f>IF(LEN(VersaPro!G23)=0,"",CHAR(10)&amp;"key *W-*A-*S-*C-m"&amp;MOD(ROW()-8,14)&amp;"-"&amp;VersaPro!G$19&amp;" = *W-*A-*S-*C-"&amp;VersaPro!G23&amp;" #")</f>
        <v xml:space="preserve">
key *W-*A-*S-*C-m1-P = *W-*A-*S-*C-G #</v>
      </c>
      <c r="H23" s="1" t="str">
        <f>IF(LEN(VersaPro!H23)=0,"",CHAR(10)&amp;"key *W-*A-*S-*C-m"&amp;MOD(ROW()-8,14)&amp;"-"&amp;VersaPro!H$19&amp;" = *W-*A-*S-*C-"&amp;VersaPro!H23&amp;" #")</f>
        <v xml:space="preserve">
key *W-*A-*S-*C-m1-Y = *W-*A-*S-*C-F #</v>
      </c>
      <c r="I23" s="1" t="str">
        <f>IF(LEN(VersaPro!I23)=0,"",CHAR(10)&amp;"key *W-*A-*S-*C-m"&amp;MOD(ROW()-8,14)&amp;"-"&amp;VersaPro!I$19&amp;" = *W-*A-*S-*C-"&amp;VersaPro!I23&amp;" #")</f>
        <v xml:space="preserve">
key *W-*A-*S-*C-m1-F = *W-*A-*S-*C-＠ #</v>
      </c>
      <c r="J23" s="1" t="str">
        <f>IF(LEN(VersaPro!J23)=0,"",CHAR(10)&amp;"key *W-*A-*S-*C-m"&amp;MOD(ROW()-8,14)&amp;"-"&amp;VersaPro!J$19&amp;" = *W-*A-*S-*C-"&amp;VersaPro!J23&amp;" #")</f>
        <v xml:space="preserve">
key *W-*A-*S-*C-m1-G = *W-*A-*S-*C-＠ #</v>
      </c>
      <c r="K23" s="1" t="str">
        <f>IF(LEN(VersaPro!K23)=0,"",CHAR(10)&amp;"key *W-*A-*S-*C-m"&amp;MOD(ROW()-8,14)&amp;"-"&amp;VersaPro!K$19&amp;" = *W-*A-*S-*C-"&amp;VersaPro!K23&amp;" #")</f>
        <v xml:space="preserve">
key *W-*A-*S-*C-m1-C = *W-*A-*S-*C-＠ #</v>
      </c>
      <c r="L23" s="1" t="str">
        <f>IF(LEN(VersaPro!L23)=0,"",CHAR(10)&amp;"key *W-*A-*S-*C-m"&amp;MOD(ROW()-8,14)&amp;"-"&amp;VersaPro!L$19&amp;" = *W-*A-*S-*C-"&amp;VersaPro!L23&amp;" #")</f>
        <v xml:space="preserve">
key *W-*A-*S-*C-m1-R = *W-*A-*S-*C-＠ #</v>
      </c>
      <c r="M23" s="1" t="str">
        <f>IF(LEN(VersaPro!M23)=0,"",CHAR(10)&amp;"key *W-*A-*S-*C-m"&amp;MOD(ROW()-8,14)&amp;"-"&amp;VersaPro!M$19&amp;" = *W-*A-*S-*C-"&amp;VersaPro!M23&amp;" #")</f>
        <v xml:space="preserve">
key *W-*A-*S-*C-m1-L = *W-*A-*S-*C-＠ #</v>
      </c>
      <c r="N23" s="1" t="str">
        <f>IF(LEN(VersaPro!N23)=0,"",CHAR(10)&amp;"key *W-*A-*S-*C-m"&amp;MOD(ROW()-8,14)&amp;"-"&amp;VersaPro!N$19&amp;" = *W-*A-*S-*C-"&amp;VersaPro!N23&amp;" #")</f>
        <v xml:space="preserve">
key *W-*A-*S-*C-m1-／ = *W-*A-*S-*C-＠ #</v>
      </c>
      <c r="O23" s="1" t="str">
        <f>IF(LEN(VersaPro!O23)=0,"",CHAR(10)&amp;"key *W-*A-*S-*C-m"&amp;MOD(ROW()-8,14)&amp;"-"&amp;VersaPro!O$19&amp;" = *W-*A-*S-*C-"&amp;VersaPro!O23&amp;" #")</f>
        <v/>
      </c>
      <c r="P23" s="1" t="str">
        <f>IF(LEN(VersaPro!P23)=0,"",CHAR(10)&amp;"key *W-*A-*S-*C-m"&amp;MOD(ROW()-8,14)&amp;"-"&amp;VersaPro!P$19&amp;" = *W-*A-*S-*C-"&amp;VersaPro!P23&amp;" #")</f>
        <v/>
      </c>
      <c r="Q23" s="1" t="str">
        <f>IF(LEN(VersaPro!Q23)=0,"",CHAR(10)&amp;"key *W-*A-*S-*C-m"&amp;MOD(ROW()-8,14)&amp;"-"&amp;VersaPro!Q$19&amp;" = *W-*A-*S-*C-"&amp;VersaPro!Q23&amp;" #")</f>
        <v/>
      </c>
      <c r="R23" s="1" t="str">
        <f>IF(LEN(VersaPro!R23)=0,"",CHAR(10)&amp;"key *W-*A-*S-*C-m"&amp;MOD(ROW()-8,14)&amp;"-"&amp;VersaPro!R$19&amp;" = *W-*A-*S-*C-"&amp;VersaPro!R23&amp;" #")</f>
        <v/>
      </c>
    </row>
    <row r="24" spans="1:18" x14ac:dyDescent="0.7">
      <c r="A24" s="1" t="str">
        <f t="shared" si="1"/>
        <v># mod2</v>
      </c>
      <c r="B24" s="1" t="str">
        <f>IF(LEN(VersaPro!B24)=0,"",CHAR(10)&amp;"key *W-*A-*S-*C-m"&amp;MOD(ROW()-8,14)&amp;"-"&amp;VersaPro!B$19&amp;" = *W-*A-*S-*C-"&amp;VersaPro!B24&amp;" #")</f>
        <v/>
      </c>
      <c r="C24" s="1" t="str">
        <f>IF(LEN(VersaPro!C24)=0,"",CHAR(10)&amp;"key *W-*A-*S-*C-m"&amp;MOD(ROW()-8,14)&amp;"-"&amp;VersaPro!C$19&amp;" = *W-*A-*S-*C-"&amp;VersaPro!C24&amp;" #")</f>
        <v/>
      </c>
      <c r="D24" s="1" t="str">
        <f>IF(LEN(VersaPro!D24)=0,"",CHAR(10)&amp;"key *W-*A-*S-*C-m"&amp;MOD(ROW()-8,14)&amp;"-"&amp;VersaPro!D$19&amp;" = *W-*A-*S-*C-"&amp;VersaPro!D24&amp;" #")</f>
        <v xml:space="preserve">
key *W-*A-*S-*C-m2-Colon = *W-*A-*S-*C-Atmark #</v>
      </c>
      <c r="E24" s="1" t="str">
        <f>IF(LEN(VersaPro!E24)=0,"",CHAR(10)&amp;"key *W-*A-*S-*C-m"&amp;MOD(ROW()-8,14)&amp;"-"&amp;VersaPro!E$19&amp;" = *W-*A-*S-*C-"&amp;VersaPro!E24&amp;" #")</f>
        <v xml:space="preserve">
key *W-*A-*S-*C-m2-Comma = *W-*A-*S-*C-$NUMBER_SIGN #</v>
      </c>
      <c r="F24" s="1" t="str">
        <f>IF(LEN(VersaPro!F24)=0,"",CHAR(10)&amp;"key *W-*A-*S-*C-m"&amp;MOD(ROW()-8,14)&amp;"-"&amp;VersaPro!F$19&amp;" = *W-*A-*S-*C-"&amp;VersaPro!F24&amp;" #")</f>
        <v xml:space="preserve">
key *W-*A-*S-*C-m2-。 = *W-*A-*S-*C-$DOLLAR_SIGN #</v>
      </c>
      <c r="G24" s="1" t="str">
        <f>IF(LEN(VersaPro!G24)=0,"",CHAR(10)&amp;"key *W-*A-*S-*C-m"&amp;MOD(ROW()-8,14)&amp;"-"&amp;VersaPro!G$19&amp;" = *W-*A-*S-*C-"&amp;VersaPro!G24&amp;" #")</f>
        <v xml:space="preserve">
key *W-*A-*S-*C-m2-P = *W-*A-*S-*C-$PERCENT_SIGN #</v>
      </c>
      <c r="H24" s="1" t="str">
        <f>IF(LEN(VersaPro!H24)=0,"",CHAR(10)&amp;"key *W-*A-*S-*C-m"&amp;MOD(ROW()-8,14)&amp;"-"&amp;VersaPro!H$19&amp;" = *W-*A-*S-*C-"&amp;VersaPro!H24&amp;" #")</f>
        <v xml:space="preserve">
key *W-*A-*S-*C-m2-Y = *W-*A-*S-*C-＠ #</v>
      </c>
      <c r="I24" s="1" t="str">
        <f>IF(LEN(VersaPro!I24)=0,"",CHAR(10)&amp;"key *W-*A-*S-*C-m"&amp;MOD(ROW()-8,14)&amp;"-"&amp;VersaPro!I$19&amp;" = *W-*A-*S-*C-"&amp;VersaPro!I24&amp;" #")</f>
        <v xml:space="preserve">
key *W-*A-*S-*C-m2-F = *W-*A-*S-*C-＠ #</v>
      </c>
      <c r="J24" s="1" t="str">
        <f>IF(LEN(VersaPro!J24)=0,"",CHAR(10)&amp;"key *W-*A-*S-*C-m"&amp;MOD(ROW()-8,14)&amp;"-"&amp;VersaPro!J$19&amp;" = *W-*A-*S-*C-"&amp;VersaPro!J24&amp;" #")</f>
        <v xml:space="preserve">
key *W-*A-*S-*C-m2-G = *W-*A-*S-*C-$AMPERSAND #</v>
      </c>
      <c r="K24" s="1" t="str">
        <f>IF(LEN(VersaPro!K24)=0,"",CHAR(10)&amp;"key *W-*A-*S-*C-m"&amp;MOD(ROW()-8,14)&amp;"-"&amp;VersaPro!K$19&amp;" = *W-*A-*S-*C-"&amp;VersaPro!K24&amp;" #")</f>
        <v xml:space="preserve">
key *W-*A-*S-*C-m2-C = *W-*A-*S-*C-$VERTICAL_LINE #</v>
      </c>
      <c r="L24" s="1" t="str">
        <f>IF(LEN(VersaPro!L24)=0,"",CHAR(10)&amp;"key *W-*A-*S-*C-m"&amp;MOD(ROW()-8,14)&amp;"-"&amp;VersaPro!L$19&amp;" = *W-*A-*S-*C-"&amp;VersaPro!L24&amp;" #")</f>
        <v xml:space="preserve">
key *W-*A-*S-*C-m2-R = *W-*A-*S-*C-＠ #</v>
      </c>
      <c r="M24" s="1" t="str">
        <f>IF(LEN(VersaPro!M24)=0,"",CHAR(10)&amp;"key *W-*A-*S-*C-m"&amp;MOD(ROW()-8,14)&amp;"-"&amp;VersaPro!M$19&amp;" = *W-*A-*S-*C-"&amp;VersaPro!M24&amp;" #")</f>
        <v xml:space="preserve">
key *W-*A-*S-*C-m2-L = *W-*A-*S-*C-＠ #</v>
      </c>
      <c r="N24" s="1" t="str">
        <f>IF(LEN(VersaPro!N24)=0,"",CHAR(10)&amp;"key *W-*A-*S-*C-m"&amp;MOD(ROW()-8,14)&amp;"-"&amp;VersaPro!N$19&amp;" = *W-*A-*S-*C-"&amp;VersaPro!N24&amp;" #")</f>
        <v xml:space="preserve">
key *W-*A-*S-*C-m2-／ = *W-*A-*S-*C-＠ #</v>
      </c>
      <c r="O24" s="1" t="str">
        <f>IF(LEN(VersaPro!O24)=0,"",CHAR(10)&amp;"key *W-*A-*S-*C-m"&amp;MOD(ROW()-8,14)&amp;"-"&amp;VersaPro!O$19&amp;" = *W-*A-*S-*C-"&amp;VersaPro!O24&amp;" #")</f>
        <v/>
      </c>
      <c r="P24" s="1" t="str">
        <f>IF(LEN(VersaPro!P24)=0,"",CHAR(10)&amp;"key *W-*A-*S-*C-m"&amp;MOD(ROW()-8,14)&amp;"-"&amp;VersaPro!P$19&amp;" = *W-*A-*S-*C-"&amp;VersaPro!P24&amp;" #")</f>
        <v/>
      </c>
      <c r="Q24" s="1" t="str">
        <f>IF(LEN(VersaPro!Q24)=0,"",CHAR(10)&amp;"key *W-*A-*S-*C-m"&amp;MOD(ROW()-8,14)&amp;"-"&amp;VersaPro!Q$19&amp;" = *W-*A-*S-*C-"&amp;VersaPro!Q24&amp;" #")</f>
        <v/>
      </c>
      <c r="R24" s="1" t="str">
        <f>IF(LEN(VersaPro!R24)=0,"",CHAR(10)&amp;"key *W-*A-*S-*C-m"&amp;MOD(ROW()-8,14)&amp;"-"&amp;VersaPro!R$19&amp;" = *W-*A-*S-*C-"&amp;VersaPro!R24&amp;" #")</f>
        <v/>
      </c>
    </row>
    <row r="25" spans="1:18" x14ac:dyDescent="0.7">
      <c r="A25" s="1" t="str">
        <f t="shared" si="1"/>
        <v># mod3</v>
      </c>
      <c r="B25" s="1" t="str">
        <f>IF(LEN(VersaPro!B25)=0,"",CHAR(10)&amp;"key *W-*A-*S-*C-m"&amp;MOD(ROW()-8,14)&amp;"-"&amp;VersaPro!B$19&amp;" = *W-*A-*S-*C-"&amp;VersaPro!B25&amp;" #")</f>
        <v/>
      </c>
      <c r="C25" s="1" t="str">
        <f>IF(LEN(VersaPro!C25)=0,"",CHAR(10)&amp;"key *W-*A-*S-*C-m"&amp;MOD(ROW()-8,14)&amp;"-"&amp;VersaPro!C$19&amp;" = *W-*A-*S-*C-"&amp;VersaPro!C25&amp;" #")</f>
        <v/>
      </c>
      <c r="D25" s="1" t="str">
        <f>IF(LEN(VersaPro!D25)=0,"",CHAR(10)&amp;"key *W-*A-*S-*C-m"&amp;MOD(ROW()-8,14)&amp;"-"&amp;VersaPro!D$19&amp;" = *W-*A-*S-*C-"&amp;VersaPro!D25&amp;" #")</f>
        <v xml:space="preserve">
key *W-*A-*S-*C-m3-Colon = *W-*A-*S-*C-／ #</v>
      </c>
      <c r="E25" s="1" t="str">
        <f>IF(LEN(VersaPro!E25)=0,"",CHAR(10)&amp;"key *W-*A-*S-*C-m"&amp;MOD(ROW()-8,14)&amp;"-"&amp;VersaPro!E$19&amp;" = *W-*A-*S-*C-"&amp;VersaPro!E25&amp;" #")</f>
        <v xml:space="preserve">
key *W-*A-*S-*C-m3-Comma = *W-*A-*S-*C-＠ #</v>
      </c>
      <c r="F25" s="1" t="str">
        <f>IF(LEN(VersaPro!F25)=0,"",CHAR(10)&amp;"key *W-*A-*S-*C-m"&amp;MOD(ROW()-8,14)&amp;"-"&amp;VersaPro!F$19&amp;" = *W-*A-*S-*C-"&amp;VersaPro!F25&amp;" #")</f>
        <v xml:space="preserve">
key *W-*A-*S-*C-m3-。 = *W-*A-*S-*C-＠ #</v>
      </c>
      <c r="G25" s="1" t="str">
        <f>IF(LEN(VersaPro!G25)=0,"",CHAR(10)&amp;"key *W-*A-*S-*C-m"&amp;MOD(ROW()-8,14)&amp;"-"&amp;VersaPro!G$19&amp;" = *W-*A-*S-*C-"&amp;VersaPro!G25&amp;" #")</f>
        <v xml:space="preserve">
key *W-*A-*S-*C-m3-P = *W-*A-*S-*C-$VERTICAL_LINE #</v>
      </c>
      <c r="H25" s="1" t="str">
        <f>IF(LEN(VersaPro!H25)=0,"",CHAR(10)&amp;"key *W-*A-*S-*C-m"&amp;MOD(ROW()-8,14)&amp;"-"&amp;VersaPro!H$19&amp;" = *W-*A-*S-*C-"&amp;VersaPro!H25&amp;" #")</f>
        <v xml:space="preserve">
key *W-*A-*S-*C-m3-Y = *W-*A-*S-*C-$AMPERSAND #</v>
      </c>
      <c r="I25" s="1" t="str">
        <f>IF(LEN(VersaPro!I25)=0,"",CHAR(10)&amp;"key *W-*A-*S-*C-m"&amp;MOD(ROW()-8,14)&amp;"-"&amp;VersaPro!I$19&amp;" = *W-*A-*S-*C-"&amp;VersaPro!I25&amp;" #")</f>
        <v/>
      </c>
      <c r="J25" s="1" t="str">
        <f>IF(LEN(VersaPro!J25)=0,"",CHAR(10)&amp;"key *W-*A-*S-*C-m"&amp;MOD(ROW()-8,14)&amp;"-"&amp;VersaPro!J$19&amp;" = *W-*A-*S-*C-"&amp;VersaPro!J25&amp;" #")</f>
        <v/>
      </c>
      <c r="K25" s="1" t="str">
        <f>IF(LEN(VersaPro!K25)=0,"",CHAR(10)&amp;"key *W-*A-*S-*C-m"&amp;MOD(ROW()-8,14)&amp;"-"&amp;VersaPro!K$19&amp;" = *W-*A-*S-*C-"&amp;VersaPro!K25&amp;" #")</f>
        <v/>
      </c>
      <c r="L25" s="1" t="str">
        <f>IF(LEN(VersaPro!L25)=0,"",CHAR(10)&amp;"key *W-*A-*S-*C-m"&amp;MOD(ROW()-8,14)&amp;"-"&amp;VersaPro!L$19&amp;" = *W-*A-*S-*C-"&amp;VersaPro!L25&amp;" #")</f>
        <v/>
      </c>
      <c r="M25" s="1" t="str">
        <f>IF(LEN(VersaPro!M25)=0,"",CHAR(10)&amp;"key *W-*A-*S-*C-m"&amp;MOD(ROW()-8,14)&amp;"-"&amp;VersaPro!M$19&amp;" = *W-*A-*S-*C-"&amp;VersaPro!M25&amp;" #")</f>
        <v/>
      </c>
      <c r="N25" s="1" t="str">
        <f>IF(LEN(VersaPro!N25)=0,"",CHAR(10)&amp;"key *W-*A-*S-*C-m"&amp;MOD(ROW()-8,14)&amp;"-"&amp;VersaPro!N$19&amp;" = *W-*A-*S-*C-"&amp;VersaPro!N25&amp;" #")</f>
        <v/>
      </c>
      <c r="O25" s="1" t="str">
        <f>IF(LEN(VersaPro!O25)=0,"",CHAR(10)&amp;"key *W-*A-*S-*C-m"&amp;MOD(ROW()-8,14)&amp;"-"&amp;VersaPro!O$19&amp;" = *W-*A-*S-*C-"&amp;VersaPro!O25&amp;" #")</f>
        <v/>
      </c>
      <c r="P25" s="1" t="str">
        <f>IF(LEN(VersaPro!P25)=0,"",CHAR(10)&amp;"key *W-*A-*S-*C-m"&amp;MOD(ROW()-8,14)&amp;"-"&amp;VersaPro!P$19&amp;" = *W-*A-*S-*C-"&amp;VersaPro!P25&amp;" #")</f>
        <v/>
      </c>
      <c r="Q25" s="1" t="str">
        <f>IF(LEN(VersaPro!Q25)=0,"",CHAR(10)&amp;"key *W-*A-*S-*C-m"&amp;MOD(ROW()-8,14)&amp;"-"&amp;VersaPro!Q$19&amp;" = *W-*A-*S-*C-"&amp;VersaPro!Q25&amp;" #")</f>
        <v/>
      </c>
      <c r="R25" s="1" t="str">
        <f>IF(LEN(VersaPro!R25)=0,"",CHAR(10)&amp;"key *W-*A-*S-*C-m"&amp;MOD(ROW()-8,14)&amp;"-"&amp;VersaPro!R$19&amp;" = *W-*A-*S-*C-"&amp;VersaPro!R25&amp;" #")</f>
        <v/>
      </c>
    </row>
    <row r="26" spans="1:18" x14ac:dyDescent="0.7">
      <c r="A26" s="1" t="str">
        <f t="shared" si="1"/>
        <v># mod4</v>
      </c>
      <c r="B26" s="1" t="str">
        <f>IF(LEN(VersaPro!B26)=0,"",CHAR(10)&amp;"key *W-*A-*S-*C-m"&amp;MOD(ROW()-8,14)&amp;"-"&amp;VersaPro!B$19&amp;" = *W-*A-*S-*C-"&amp;VersaPro!B26&amp;" #")</f>
        <v/>
      </c>
      <c r="C26" s="1" t="str">
        <f>IF(LEN(VersaPro!C26)=0,"",CHAR(10)&amp;"key *W-*A-*S-*C-m"&amp;MOD(ROW()-8,14)&amp;"-"&amp;VersaPro!C$19&amp;" = *W-*A-*S-*C-"&amp;VersaPro!C26&amp;" #")</f>
        <v/>
      </c>
      <c r="D26" s="1" t="str">
        <f>IF(LEN(VersaPro!D26)=0,"",CHAR(10)&amp;"key *W-*A-*S-*C-m"&amp;MOD(ROW()-8,14)&amp;"-"&amp;VersaPro!D$19&amp;" = *W-*A-*S-*C-"&amp;VersaPro!D26&amp;" #")</f>
        <v xml:space="preserve">
key *W-*A-*S-*C-m4-Colon = *W-*A-*S-*C-C-Z #</v>
      </c>
      <c r="E26" s="1" t="str">
        <f>IF(LEN(VersaPro!E26)=0,"",CHAR(10)&amp;"key *W-*A-*S-*C-m"&amp;MOD(ROW()-8,14)&amp;"-"&amp;VersaPro!E$19&amp;" = *W-*A-*S-*C-"&amp;VersaPro!E26&amp;" #")</f>
        <v xml:space="preserve">
key *W-*A-*S-*C-m4-Comma = *W-*A-*S-*C-C-X #</v>
      </c>
      <c r="F26" s="1" t="str">
        <f>IF(LEN(VersaPro!F26)=0,"",CHAR(10)&amp;"key *W-*A-*S-*C-m"&amp;MOD(ROW()-8,14)&amp;"-"&amp;VersaPro!F$19&amp;" = *W-*A-*S-*C-"&amp;VersaPro!F26&amp;" #")</f>
        <v xml:space="preserve">
key *W-*A-*S-*C-m4-。 = *W-*A-*S-*C-C-C #</v>
      </c>
      <c r="G26" s="1" t="str">
        <f>IF(LEN(VersaPro!G26)=0,"",CHAR(10)&amp;"key *W-*A-*S-*C-m"&amp;MOD(ROW()-8,14)&amp;"-"&amp;VersaPro!G$19&amp;" = *W-*A-*S-*C-"&amp;VersaPro!G26&amp;" #")</f>
        <v xml:space="preserve">
key *W-*A-*S-*C-m4-P = *W-*A-*S-*C-C-V #</v>
      </c>
      <c r="H26" s="1" t="str">
        <f>IF(LEN(VersaPro!H26)=0,"",CHAR(10)&amp;"key *W-*A-*S-*C-m"&amp;MOD(ROW()-8,14)&amp;"-"&amp;VersaPro!H$19&amp;" = *W-*A-*S-*C-"&amp;VersaPro!H26&amp;" #")</f>
        <v xml:space="preserve">
key *W-*A-*S-*C-m4-Y = *W-*A-*S-*C-C-Y #</v>
      </c>
      <c r="I26" s="1" t="str">
        <f>IF(LEN(VersaPro!I26)=0,"",CHAR(10)&amp;"key *W-*A-*S-*C-m"&amp;MOD(ROW()-8,14)&amp;"-"&amp;VersaPro!I$19&amp;" = *W-*A-*S-*C-"&amp;VersaPro!I26&amp;" #")</f>
        <v xml:space="preserve">
key *W-*A-*S-*C-m4-F = *W-*A-*S-*C-C-S #</v>
      </c>
      <c r="J26" s="1" t="str">
        <f>IF(LEN(VersaPro!J26)=0,"",CHAR(10)&amp;"key *W-*A-*S-*C-m"&amp;MOD(ROW()-8,14)&amp;"-"&amp;VersaPro!J$19&amp;" = *W-*A-*S-*C-"&amp;VersaPro!J26&amp;" #")</f>
        <v/>
      </c>
      <c r="K26" s="1" t="str">
        <f>IF(LEN(VersaPro!K26)=0,"",CHAR(10)&amp;"key *W-*A-*S-*C-m"&amp;MOD(ROW()-8,14)&amp;"-"&amp;VersaPro!K$19&amp;" = *W-*A-*S-*C-"&amp;VersaPro!K26&amp;" #")</f>
        <v/>
      </c>
      <c r="L26" s="1" t="str">
        <f>IF(LEN(VersaPro!L26)=0,"",CHAR(10)&amp;"key *W-*A-*S-*C-m"&amp;MOD(ROW()-8,14)&amp;"-"&amp;VersaPro!L$19&amp;" = *W-*A-*S-*C-"&amp;VersaPro!L26&amp;" #")</f>
        <v/>
      </c>
      <c r="M26" s="1" t="str">
        <f>IF(LEN(VersaPro!M26)=0,"",CHAR(10)&amp;"key *W-*A-*S-*C-m"&amp;MOD(ROW()-8,14)&amp;"-"&amp;VersaPro!M$19&amp;" = *W-*A-*S-*C-"&amp;VersaPro!M26&amp;" #")</f>
        <v/>
      </c>
      <c r="N26" s="1" t="str">
        <f>IF(LEN(VersaPro!N26)=0,"",CHAR(10)&amp;"key *W-*A-*S-*C-m"&amp;MOD(ROW()-8,14)&amp;"-"&amp;VersaPro!N$19&amp;" = *W-*A-*S-*C-"&amp;VersaPro!N26&amp;" #")</f>
        <v/>
      </c>
      <c r="O26" s="1" t="str">
        <f>IF(LEN(VersaPro!O26)=0,"",CHAR(10)&amp;"key *W-*A-*S-*C-m"&amp;MOD(ROW()-8,14)&amp;"-"&amp;VersaPro!O$19&amp;" = *W-*A-*S-*C-"&amp;VersaPro!O26&amp;" #")</f>
        <v/>
      </c>
      <c r="P26" s="1" t="str">
        <f>IF(LEN(VersaPro!P26)=0,"",CHAR(10)&amp;"key *W-*A-*S-*C-m"&amp;MOD(ROW()-8,14)&amp;"-"&amp;VersaPro!P$19&amp;" = *W-*A-*S-*C-"&amp;VersaPro!P26&amp;" #")</f>
        <v/>
      </c>
      <c r="Q26" s="1" t="str">
        <f>IF(LEN(VersaPro!Q26)=0,"",CHAR(10)&amp;"key *W-*A-*S-*C-m"&amp;MOD(ROW()-8,14)&amp;"-"&amp;VersaPro!Q$19&amp;" = *W-*A-*S-*C-"&amp;VersaPro!Q26&amp;" #")</f>
        <v/>
      </c>
      <c r="R26" s="1" t="str">
        <f>IF(LEN(VersaPro!R26)=0,"",CHAR(10)&amp;"key *W-*A-*S-*C-m"&amp;MOD(ROW()-8,14)&amp;"-"&amp;VersaPro!R$19&amp;" = *W-*A-*S-*C-"&amp;VersaPro!R26&amp;" #")</f>
        <v/>
      </c>
    </row>
    <row r="27" spans="1:18" x14ac:dyDescent="0.7">
      <c r="A27" s="1" t="str">
        <f t="shared" si="1"/>
        <v># mod5</v>
      </c>
      <c r="B27" s="1" t="str">
        <f>IF(LEN(VersaPro!B27)=0,"",CHAR(10)&amp;"key *W-*A-*S-*C-m"&amp;MOD(ROW()-8,14)&amp;"-"&amp;VersaPro!B$19&amp;" = *W-*A-*S-*C-"&amp;VersaPro!B27&amp;" #")</f>
        <v/>
      </c>
      <c r="C27" s="1" t="str">
        <f>IF(LEN(VersaPro!C27)=0,"",CHAR(10)&amp;"key *W-*A-*S-*C-m"&amp;MOD(ROW()-8,14)&amp;"-"&amp;VersaPro!C$19&amp;" = *W-*A-*S-*C-"&amp;VersaPro!C27&amp;" #")</f>
        <v/>
      </c>
      <c r="D27" s="1" t="str">
        <f>IF(LEN(VersaPro!D27)=0,"",CHAR(10)&amp;"key *W-*A-*S-*C-m"&amp;MOD(ROW()-8,14)&amp;"-"&amp;VersaPro!D$19&amp;" = *W-*A-*S-*C-"&amp;VersaPro!D27&amp;" #")</f>
        <v xml:space="preserve">
key *W-*A-*S-*C-m5-Colon = *W-*A-*S-*C-＠ #</v>
      </c>
      <c r="E27" s="1" t="str">
        <f>IF(LEN(VersaPro!E27)=0,"",CHAR(10)&amp;"key *W-*A-*S-*C-m"&amp;MOD(ROW()-8,14)&amp;"-"&amp;VersaPro!E$19&amp;" = *W-*A-*S-*C-"&amp;VersaPro!E27&amp;" #")</f>
        <v xml:space="preserve">
key *W-*A-*S-*C-m5-Comma = *W-*A-*S-*C-＠ #</v>
      </c>
      <c r="F27" s="1" t="str">
        <f>IF(LEN(VersaPro!F27)=0,"",CHAR(10)&amp;"key *W-*A-*S-*C-m"&amp;MOD(ROW()-8,14)&amp;"-"&amp;VersaPro!F$19&amp;" = *W-*A-*S-*C-"&amp;VersaPro!F27&amp;" #")</f>
        <v xml:space="preserve">
key *W-*A-*S-*C-m5-。 = *W-*A-*S-*C-＠ #</v>
      </c>
      <c r="G27" s="1" t="str">
        <f>IF(LEN(VersaPro!G27)=0,"",CHAR(10)&amp;"key *W-*A-*S-*C-m"&amp;MOD(ROW()-8,14)&amp;"-"&amp;VersaPro!G$19&amp;" = *W-*A-*S-*C-"&amp;VersaPro!G27&amp;" #")</f>
        <v xml:space="preserve">
key *W-*A-*S-*C-m5-P = *W-*A-*S-*C-＠ #</v>
      </c>
      <c r="H27" s="1" t="str">
        <f>IF(LEN(VersaPro!H27)=0,"",CHAR(10)&amp;"key *W-*A-*S-*C-m"&amp;MOD(ROW()-8,14)&amp;"-"&amp;VersaPro!H$19&amp;" = *W-*A-*S-*C-"&amp;VersaPro!H27&amp;" #")</f>
        <v xml:space="preserve">
key *W-*A-*S-*C-m5-Y = *W-*A-*S-*C-Tab #</v>
      </c>
      <c r="I27" s="1" t="str">
        <f>IF(LEN(VersaPro!I27)=0,"",CHAR(10)&amp;"key *W-*A-*S-*C-m"&amp;MOD(ROW()-8,14)&amp;"-"&amp;VersaPro!I$19&amp;" = *W-*A-*S-*C-"&amp;VersaPro!I27&amp;" #")</f>
        <v/>
      </c>
      <c r="J27" s="1" t="str">
        <f>IF(LEN(VersaPro!J27)=0,"",CHAR(10)&amp;"key *W-*A-*S-*C-m"&amp;MOD(ROW()-8,14)&amp;"-"&amp;VersaPro!J$19&amp;" = *W-*A-*S-*C-"&amp;VersaPro!J27&amp;" #")</f>
        <v/>
      </c>
      <c r="K27" s="1" t="str">
        <f>IF(LEN(VersaPro!K27)=0,"",CHAR(10)&amp;"key *W-*A-*S-*C-m"&amp;MOD(ROW()-8,14)&amp;"-"&amp;VersaPro!K$19&amp;" = *W-*A-*S-*C-"&amp;VersaPro!K27&amp;" #")</f>
        <v/>
      </c>
      <c r="L27" s="1" t="str">
        <f>IF(LEN(VersaPro!L27)=0,"",CHAR(10)&amp;"key *W-*A-*S-*C-m"&amp;MOD(ROW()-8,14)&amp;"-"&amp;VersaPro!L$19&amp;" = *W-*A-*S-*C-"&amp;VersaPro!L27&amp;" #")</f>
        <v/>
      </c>
      <c r="M27" s="1" t="str">
        <f>IF(LEN(VersaPro!M27)=0,"",CHAR(10)&amp;"key *W-*A-*S-*C-m"&amp;MOD(ROW()-8,14)&amp;"-"&amp;VersaPro!M$19&amp;" = *W-*A-*S-*C-"&amp;VersaPro!M27&amp;" #")</f>
        <v/>
      </c>
      <c r="N27" s="1" t="str">
        <f>IF(LEN(VersaPro!N27)=0,"",CHAR(10)&amp;"key *W-*A-*S-*C-m"&amp;MOD(ROW()-8,14)&amp;"-"&amp;VersaPro!N$19&amp;" = *W-*A-*S-*C-"&amp;VersaPro!N27&amp;" #")</f>
        <v/>
      </c>
      <c r="O27" s="1" t="str">
        <f>IF(LEN(VersaPro!O27)=0,"",CHAR(10)&amp;"key *W-*A-*S-*C-m"&amp;MOD(ROW()-8,14)&amp;"-"&amp;VersaPro!O$19&amp;" = *W-*A-*S-*C-"&amp;VersaPro!O27&amp;" #")</f>
        <v/>
      </c>
      <c r="P27" s="1" t="str">
        <f>IF(LEN(VersaPro!P27)=0,"",CHAR(10)&amp;"key *W-*A-*S-*C-m"&amp;MOD(ROW()-8,14)&amp;"-"&amp;VersaPro!P$19&amp;" = *W-*A-*S-*C-"&amp;VersaPro!P27&amp;" #")</f>
        <v/>
      </c>
      <c r="Q27" s="1" t="str">
        <f>IF(LEN(VersaPro!Q27)=0,"",CHAR(10)&amp;"key *W-*A-*S-*C-m"&amp;MOD(ROW()-8,14)&amp;"-"&amp;VersaPro!Q$19&amp;" = *W-*A-*S-*C-"&amp;VersaPro!Q27&amp;" #")</f>
        <v/>
      </c>
      <c r="R27" s="1" t="str">
        <f>IF(LEN(VersaPro!R27)=0,"",CHAR(10)&amp;"key *W-*A-*S-*C-m"&amp;MOD(ROW()-8,14)&amp;"-"&amp;VersaPro!R$19&amp;" = *W-*A-*S-*C-"&amp;VersaPro!R27&amp;" #")</f>
        <v/>
      </c>
    </row>
    <row r="28" spans="1:18" x14ac:dyDescent="0.7">
      <c r="A28" s="1" t="str">
        <f t="shared" si="1"/>
        <v># mod6</v>
      </c>
      <c r="B28" s="1" t="str">
        <f>IF(LEN(VersaPro!B28)=0,"",CHAR(10)&amp;"key *W-*A-*S-*C-m"&amp;MOD(ROW()-8,14)&amp;"-"&amp;VersaPro!B$19&amp;" = *W-*A-*S-*C-"&amp;VersaPro!B28&amp;" #")</f>
        <v/>
      </c>
      <c r="C28" s="1" t="str">
        <f>IF(LEN(VersaPro!C28)=0,"",CHAR(10)&amp;"key *W-*A-*S-*C-m"&amp;MOD(ROW()-8,14)&amp;"-"&amp;VersaPro!C$19&amp;" = *W-*A-*S-*C-"&amp;VersaPro!C28&amp;" #")</f>
        <v/>
      </c>
      <c r="D28" s="1" t="str">
        <f>IF(LEN(VersaPro!D28)=0,"",CHAR(10)&amp;"key *W-*A-*S-*C-m"&amp;MOD(ROW()-8,14)&amp;"-"&amp;VersaPro!D$19&amp;" = *W-*A-*S-*C-"&amp;VersaPro!D28&amp;" #")</f>
        <v xml:space="preserve">
key *W-*A-*S-*C-m6-Colon = *W-*A-*S-*C-C-頭 #</v>
      </c>
      <c r="E28" s="1" t="str">
        <f>IF(LEN(VersaPro!E28)=0,"",CHAR(10)&amp;"key *W-*A-*S-*C-m"&amp;MOD(ROW()-8,14)&amp;"-"&amp;VersaPro!E$19&amp;" = *W-*A-*S-*C-"&amp;VersaPro!E28&amp;" #")</f>
        <v xml:space="preserve">
key *W-*A-*S-*C-m6-Comma = *W-*A-*S-*C-C-尻 #</v>
      </c>
      <c r="F28" s="1" t="str">
        <f>IF(LEN(VersaPro!F28)=0,"",CHAR(10)&amp;"key *W-*A-*S-*C-m"&amp;MOD(ROW()-8,14)&amp;"-"&amp;VersaPro!F$19&amp;" = *W-*A-*S-*C-"&amp;VersaPro!F28&amp;" #")</f>
        <v xml:space="preserve">
key *W-*A-*S-*C-m6-。 = *W-*A-*S-*C-S-C-Tab #</v>
      </c>
      <c r="G28" s="1" t="str">
        <f>IF(LEN(VersaPro!G28)=0,"",CHAR(10)&amp;"key *W-*A-*S-*C-m"&amp;MOD(ROW()-8,14)&amp;"-"&amp;VersaPro!G$19&amp;" = *W-*A-*S-*C-"&amp;VersaPro!G28&amp;" #")</f>
        <v xml:space="preserve">
key *W-*A-*S-*C-m6-P = *W-*A-*S-*C-C-Tab #</v>
      </c>
      <c r="H28" s="1" t="str">
        <f>IF(LEN(VersaPro!H28)=0,"",CHAR(10)&amp;"key *W-*A-*S-*C-m"&amp;MOD(ROW()-8,14)&amp;"-"&amp;VersaPro!H$19&amp;" = *W-*A-*S-*C-"&amp;VersaPro!H28&amp;" #")</f>
        <v xml:space="preserve">
key *W-*A-*S-*C-m6-Y = *W-*A-*S-*C-C-F4 #</v>
      </c>
      <c r="I28" s="1" t="str">
        <f>IF(LEN(VersaPro!I28)=0,"",CHAR(10)&amp;"key *W-*A-*S-*C-m"&amp;MOD(ROW()-8,14)&amp;"-"&amp;VersaPro!I$19&amp;" = *W-*A-*S-*C-"&amp;VersaPro!I28&amp;" #")</f>
        <v/>
      </c>
      <c r="J28" s="1" t="str">
        <f>IF(LEN(VersaPro!J28)=0,"",CHAR(10)&amp;"key *W-*A-*S-*C-m"&amp;MOD(ROW()-8,14)&amp;"-"&amp;VersaPro!J$19&amp;" = *W-*A-*S-*C-"&amp;VersaPro!J28&amp;" #")</f>
        <v/>
      </c>
      <c r="K28" s="1" t="str">
        <f>IF(LEN(VersaPro!K28)=0,"",CHAR(10)&amp;"key *W-*A-*S-*C-m"&amp;MOD(ROW()-8,14)&amp;"-"&amp;VersaPro!K$19&amp;" = *W-*A-*S-*C-"&amp;VersaPro!K28&amp;" #")</f>
        <v/>
      </c>
      <c r="L28" s="1" t="str">
        <f>IF(LEN(VersaPro!L28)=0,"",CHAR(10)&amp;"key *W-*A-*S-*C-m"&amp;MOD(ROW()-8,14)&amp;"-"&amp;VersaPro!L$19&amp;" = *W-*A-*S-*C-"&amp;VersaPro!L28&amp;" #")</f>
        <v/>
      </c>
      <c r="M28" s="1" t="str">
        <f>IF(LEN(VersaPro!M28)=0,"",CHAR(10)&amp;"key *W-*A-*S-*C-m"&amp;MOD(ROW()-8,14)&amp;"-"&amp;VersaPro!M$19&amp;" = *W-*A-*S-*C-"&amp;VersaPro!M28&amp;" #")</f>
        <v/>
      </c>
      <c r="N28" s="1" t="str">
        <f>IF(LEN(VersaPro!N28)=0,"",CHAR(10)&amp;"key *W-*A-*S-*C-m"&amp;MOD(ROW()-8,14)&amp;"-"&amp;VersaPro!N$19&amp;" = *W-*A-*S-*C-"&amp;VersaPro!N28&amp;" #")</f>
        <v/>
      </c>
      <c r="O28" s="1" t="str">
        <f>IF(LEN(VersaPro!O28)=0,"",CHAR(10)&amp;"key *W-*A-*S-*C-m"&amp;MOD(ROW()-8,14)&amp;"-"&amp;VersaPro!O$19&amp;" = *W-*A-*S-*C-"&amp;VersaPro!O28&amp;" #")</f>
        <v/>
      </c>
      <c r="P28" s="1" t="str">
        <f>IF(LEN(VersaPro!P28)=0,"",CHAR(10)&amp;"key *W-*A-*S-*C-m"&amp;MOD(ROW()-8,14)&amp;"-"&amp;VersaPro!P$19&amp;" = *W-*A-*S-*C-"&amp;VersaPro!P28&amp;" #")</f>
        <v/>
      </c>
      <c r="Q28" s="1" t="str">
        <f>IF(LEN(VersaPro!Q28)=0,"",CHAR(10)&amp;"key *W-*A-*S-*C-m"&amp;MOD(ROW()-8,14)&amp;"-"&amp;VersaPro!Q$19&amp;" = *W-*A-*S-*C-"&amp;VersaPro!Q28&amp;" #")</f>
        <v/>
      </c>
      <c r="R28" s="1" t="str">
        <f>IF(LEN(VersaPro!R28)=0,"",CHAR(10)&amp;"key *W-*A-*S-*C-m"&amp;MOD(ROW()-8,14)&amp;"-"&amp;VersaPro!R$19&amp;" = *W-*A-*S-*C-"&amp;VersaPro!R28&amp;" #")</f>
        <v/>
      </c>
    </row>
    <row r="29" spans="1:18" x14ac:dyDescent="0.7">
      <c r="A29" s="1" t="str">
        <f t="shared" si="1"/>
        <v># mod7</v>
      </c>
      <c r="B29" s="1" t="str">
        <f>IF(LEN(VersaPro!B29)=0,"",CHAR(10)&amp;"key *W-*A-*S-*C-m"&amp;MOD(ROW()-8,14)&amp;"-"&amp;VersaPro!B$19&amp;" = *W-*A-*S-*C-"&amp;VersaPro!B29&amp;" #")</f>
        <v/>
      </c>
      <c r="C29" s="1" t="str">
        <f>IF(LEN(VersaPro!C29)=0,"",CHAR(10)&amp;"key *W-*A-*S-*C-m"&amp;MOD(ROW()-8,14)&amp;"-"&amp;VersaPro!C$19&amp;" = *W-*A-*S-*C-"&amp;VersaPro!C29&amp;" #")</f>
        <v/>
      </c>
      <c r="D29" s="1" t="str">
        <f>IF(LEN(VersaPro!D29)=0,"",CHAR(10)&amp;"key *W-*A-*S-*C-m"&amp;MOD(ROW()-8,14)&amp;"-"&amp;VersaPro!D$19&amp;" = *W-*A-*S-*C-"&amp;VersaPro!D29&amp;" #")</f>
        <v xml:space="preserve">
key *W-*A-*S-*C-m7-Colon = *W-*A-*S-*C-＠ #</v>
      </c>
      <c r="E29" s="1" t="str">
        <f>IF(LEN(VersaPro!E29)=0,"",CHAR(10)&amp;"key *W-*A-*S-*C-m"&amp;MOD(ROW()-8,14)&amp;"-"&amp;VersaPro!E$19&amp;" = *W-*A-*S-*C-"&amp;VersaPro!E29&amp;" #")</f>
        <v xml:space="preserve">
key *W-*A-*S-*C-m7-Comma = *W-*A-*S-*C-＠ #</v>
      </c>
      <c r="F29" s="1" t="str">
        <f>IF(LEN(VersaPro!F29)=0,"",CHAR(10)&amp;"key *W-*A-*S-*C-m"&amp;MOD(ROW()-8,14)&amp;"-"&amp;VersaPro!F$19&amp;" = *W-*A-*S-*C-"&amp;VersaPro!F29&amp;" #")</f>
        <v xml:space="preserve">
key *W-*A-*S-*C-m7-。 = *W-*A-*S-*C-＠ #</v>
      </c>
      <c r="G29" s="1" t="str">
        <f>IF(LEN(VersaPro!G29)=0,"",CHAR(10)&amp;"key *W-*A-*S-*C-m"&amp;MOD(ROW()-8,14)&amp;"-"&amp;VersaPro!G$19&amp;" = *W-*A-*S-*C-"&amp;VersaPro!G29&amp;" #")</f>
        <v xml:space="preserve">
key *W-*A-*S-*C-m7-P = *W-*A-*S-*C-＠ #</v>
      </c>
      <c r="H29" s="1" t="str">
        <f>IF(LEN(VersaPro!H29)=0,"",CHAR(10)&amp;"key *W-*A-*S-*C-m"&amp;MOD(ROW()-8,14)&amp;"-"&amp;VersaPro!H$19&amp;" = *W-*A-*S-*C-"&amp;VersaPro!H29&amp;" #")</f>
        <v xml:space="preserve">
key *W-*A-*S-*C-m7-Y = *W-*A-*S-*C-＠ #</v>
      </c>
      <c r="I29" s="1" t="str">
        <f>IF(LEN(VersaPro!I29)=0,"",CHAR(10)&amp;"key *W-*A-*S-*C-m"&amp;MOD(ROW()-8,14)&amp;"-"&amp;VersaPro!I$19&amp;" = *W-*A-*S-*C-"&amp;VersaPro!I29&amp;" #")</f>
        <v/>
      </c>
      <c r="J29" s="1" t="str">
        <f>IF(LEN(VersaPro!J29)=0,"",CHAR(10)&amp;"key *W-*A-*S-*C-m"&amp;MOD(ROW()-8,14)&amp;"-"&amp;VersaPro!J$19&amp;" = *W-*A-*S-*C-"&amp;VersaPro!J29&amp;" #")</f>
        <v/>
      </c>
      <c r="K29" s="1" t="str">
        <f>IF(LEN(VersaPro!K29)=0,"",CHAR(10)&amp;"key *W-*A-*S-*C-m"&amp;MOD(ROW()-8,14)&amp;"-"&amp;VersaPro!K$19&amp;" = *W-*A-*S-*C-"&amp;VersaPro!K29&amp;" #")</f>
        <v/>
      </c>
      <c r="L29" s="1" t="str">
        <f>IF(LEN(VersaPro!L29)=0,"",CHAR(10)&amp;"key *W-*A-*S-*C-m"&amp;MOD(ROW()-8,14)&amp;"-"&amp;VersaPro!L$19&amp;" = *W-*A-*S-*C-"&amp;VersaPro!L29&amp;" #")</f>
        <v/>
      </c>
      <c r="M29" s="1" t="str">
        <f>IF(LEN(VersaPro!M29)=0,"",CHAR(10)&amp;"key *W-*A-*S-*C-m"&amp;MOD(ROW()-8,14)&amp;"-"&amp;VersaPro!M$19&amp;" = *W-*A-*S-*C-"&amp;VersaPro!M29&amp;" #")</f>
        <v/>
      </c>
      <c r="N29" s="1" t="str">
        <f>IF(LEN(VersaPro!N29)=0,"",CHAR(10)&amp;"key *W-*A-*S-*C-m"&amp;MOD(ROW()-8,14)&amp;"-"&amp;VersaPro!N$19&amp;" = *W-*A-*S-*C-"&amp;VersaPro!N29&amp;" #")</f>
        <v/>
      </c>
      <c r="O29" s="1" t="str">
        <f>IF(LEN(VersaPro!O29)=0,"",CHAR(10)&amp;"key *W-*A-*S-*C-m"&amp;MOD(ROW()-8,14)&amp;"-"&amp;VersaPro!O$19&amp;" = *W-*A-*S-*C-"&amp;VersaPro!O29&amp;" #")</f>
        <v/>
      </c>
      <c r="P29" s="1" t="str">
        <f>IF(LEN(VersaPro!P29)=0,"",CHAR(10)&amp;"key *W-*A-*S-*C-m"&amp;MOD(ROW()-8,14)&amp;"-"&amp;VersaPro!P$19&amp;" = *W-*A-*S-*C-"&amp;VersaPro!P29&amp;" #")</f>
        <v/>
      </c>
      <c r="Q29" s="1" t="str">
        <f>IF(LEN(VersaPro!Q29)=0,"",CHAR(10)&amp;"key *W-*A-*S-*C-m"&amp;MOD(ROW()-8,14)&amp;"-"&amp;VersaPro!Q$19&amp;" = *W-*A-*S-*C-"&amp;VersaPro!Q29&amp;" #")</f>
        <v/>
      </c>
      <c r="R29" s="1" t="str">
        <f>IF(LEN(VersaPro!R29)=0,"",CHAR(10)&amp;"key *W-*A-*S-*C-m"&amp;MOD(ROW()-8,14)&amp;"-"&amp;VersaPro!R$19&amp;" = *W-*A-*S-*C-"&amp;VersaPro!R29&amp;" #")</f>
        <v/>
      </c>
    </row>
    <row r="30" spans="1:18" x14ac:dyDescent="0.7">
      <c r="A30" s="1" t="str">
        <f t="shared" si="1"/>
        <v># mod8</v>
      </c>
      <c r="B30" s="1" t="str">
        <f>IF(LEN(VersaPro!B30)=0,"",CHAR(10)&amp;"key *W-*A-*S-*C-m"&amp;MOD(ROW()-8,14)&amp;"-"&amp;VersaPro!B$19&amp;" = *W-*A-*S-*C-"&amp;VersaPro!B30&amp;" #")</f>
        <v/>
      </c>
      <c r="C30" s="1" t="str">
        <f>IF(LEN(VersaPro!C30)=0,"",CHAR(10)&amp;"key *W-*A-*S-*C-m"&amp;MOD(ROW()-8,14)&amp;"-"&amp;VersaPro!C$19&amp;" = *W-*A-*S-*C-"&amp;VersaPro!C30&amp;" #")</f>
        <v/>
      </c>
      <c r="D30" s="1" t="str">
        <f>IF(LEN(VersaPro!D30)=0,"",CHAR(10)&amp;"key *W-*A-*S-*C-m"&amp;MOD(ROW()-8,14)&amp;"-"&amp;VersaPro!D$19&amp;" = *W-*A-*S-*C-"&amp;VersaPro!D30&amp;" #")</f>
        <v xml:space="preserve">
key *W-*A-*S-*C-m8-Colon = *W-*A-*S-*C-S-↓ #</v>
      </c>
      <c r="E30" s="1" t="str">
        <f>IF(LEN(VersaPro!E30)=0,"",CHAR(10)&amp;"key *W-*A-*S-*C-m"&amp;MOD(ROW()-8,14)&amp;"-"&amp;VersaPro!E$19&amp;" = *W-*A-*S-*C-"&amp;VersaPro!E30&amp;" #")</f>
        <v xml:space="preserve">
key *W-*A-*S-*C-m8-Comma = *W-*A-*S-*C-S-↑ #</v>
      </c>
      <c r="F30" s="1" t="str">
        <f>IF(LEN(VersaPro!F30)=0,"",CHAR(10)&amp;"key *W-*A-*S-*C-m"&amp;MOD(ROW()-8,14)&amp;"-"&amp;VersaPro!F$19&amp;" = *W-*A-*S-*C-"&amp;VersaPro!F30&amp;" #")</f>
        <v xml:space="preserve">
key *W-*A-*S-*C-m8-。 = *W-*A-*S-*C-S-F3 #</v>
      </c>
      <c r="G30" s="1" t="str">
        <f>IF(LEN(VersaPro!G30)=0,"",CHAR(10)&amp;"key *W-*A-*S-*C-m"&amp;MOD(ROW()-8,14)&amp;"-"&amp;VersaPro!G$19&amp;" = *W-*A-*S-*C-"&amp;VersaPro!G30&amp;" #")</f>
        <v xml:space="preserve">
key *W-*A-*S-*C-m8-P = *W-*A-*S-*C-F3 #</v>
      </c>
      <c r="H30" s="1" t="str">
        <f>IF(LEN(VersaPro!H30)=0,"",CHAR(10)&amp;"key *W-*A-*S-*C-m"&amp;MOD(ROW()-8,14)&amp;"-"&amp;VersaPro!H$19&amp;" = *W-*A-*S-*C-"&amp;VersaPro!H30&amp;" #")</f>
        <v/>
      </c>
      <c r="I30" s="1" t="str">
        <f>IF(LEN(VersaPro!I30)=0,"",CHAR(10)&amp;"key *W-*A-*S-*C-m"&amp;MOD(ROW()-8,14)&amp;"-"&amp;VersaPro!I$19&amp;" = *W-*A-*S-*C-"&amp;VersaPro!I30&amp;" #")</f>
        <v/>
      </c>
      <c r="J30" s="1" t="str">
        <f>IF(LEN(VersaPro!J30)=0,"",CHAR(10)&amp;"key *W-*A-*S-*C-m"&amp;MOD(ROW()-8,14)&amp;"-"&amp;VersaPro!J$19&amp;" = *W-*A-*S-*C-"&amp;VersaPro!J30&amp;" #")</f>
        <v/>
      </c>
      <c r="K30" s="1" t="str">
        <f>IF(LEN(VersaPro!K30)=0,"",CHAR(10)&amp;"key *W-*A-*S-*C-m"&amp;MOD(ROW()-8,14)&amp;"-"&amp;VersaPro!K$19&amp;" = *W-*A-*S-*C-"&amp;VersaPro!K30&amp;" #")</f>
        <v/>
      </c>
      <c r="L30" s="1" t="str">
        <f>IF(LEN(VersaPro!L30)=0,"",CHAR(10)&amp;"key *W-*A-*S-*C-m"&amp;MOD(ROW()-8,14)&amp;"-"&amp;VersaPro!L$19&amp;" = *W-*A-*S-*C-"&amp;VersaPro!L30&amp;" #")</f>
        <v/>
      </c>
      <c r="M30" s="1" t="str">
        <f>IF(LEN(VersaPro!M30)=0,"",CHAR(10)&amp;"key *W-*A-*S-*C-m"&amp;MOD(ROW()-8,14)&amp;"-"&amp;VersaPro!M$19&amp;" = *W-*A-*S-*C-"&amp;VersaPro!M30&amp;" #")</f>
        <v/>
      </c>
      <c r="N30" s="1" t="str">
        <f>IF(LEN(VersaPro!N30)=0,"",CHAR(10)&amp;"key *W-*A-*S-*C-m"&amp;MOD(ROW()-8,14)&amp;"-"&amp;VersaPro!N$19&amp;" = *W-*A-*S-*C-"&amp;VersaPro!N30&amp;" #")</f>
        <v/>
      </c>
      <c r="O30" s="1" t="str">
        <f>IF(LEN(VersaPro!O30)=0,"",CHAR(10)&amp;"key *W-*A-*S-*C-m"&amp;MOD(ROW()-8,14)&amp;"-"&amp;VersaPro!O$19&amp;" = *W-*A-*S-*C-"&amp;VersaPro!O30&amp;" #")</f>
        <v/>
      </c>
      <c r="P30" s="1" t="str">
        <f>IF(LEN(VersaPro!P30)=0,"",CHAR(10)&amp;"key *W-*A-*S-*C-m"&amp;MOD(ROW()-8,14)&amp;"-"&amp;VersaPro!P$19&amp;" = *W-*A-*S-*C-"&amp;VersaPro!P30&amp;" #")</f>
        <v/>
      </c>
      <c r="Q30" s="1" t="str">
        <f>IF(LEN(VersaPro!Q30)=0,"",CHAR(10)&amp;"key *W-*A-*S-*C-m"&amp;MOD(ROW()-8,14)&amp;"-"&amp;VersaPro!Q$19&amp;" = *W-*A-*S-*C-"&amp;VersaPro!Q30&amp;" #")</f>
        <v/>
      </c>
      <c r="R30" s="1" t="str">
        <f>IF(LEN(VersaPro!R30)=0,"",CHAR(10)&amp;"key *W-*A-*S-*C-m"&amp;MOD(ROW()-8,14)&amp;"-"&amp;VersaPro!R$19&amp;" = *W-*A-*S-*C-"&amp;VersaPro!R30&amp;" #")</f>
        <v/>
      </c>
    </row>
    <row r="31" spans="1:18" x14ac:dyDescent="0.7">
      <c r="A31" s="1" t="str">
        <f t="shared" si="1"/>
        <v># mod9</v>
      </c>
      <c r="B31" s="1" t="str">
        <f>IF(LEN(VersaPro!B31)=0,"",CHAR(10)&amp;"key *W-*A-*S-*C-m"&amp;MOD(ROW()-8,14)&amp;"-"&amp;VersaPro!B$19&amp;" = *W-*A-*S-*C-"&amp;VersaPro!B31&amp;" #")</f>
        <v/>
      </c>
      <c r="C31" s="1" t="str">
        <f>IF(LEN(VersaPro!C31)=0,"",CHAR(10)&amp;"key *W-*A-*S-*C-m"&amp;MOD(ROW()-8,14)&amp;"-"&amp;VersaPro!C$19&amp;" = *W-*A-*S-*C-"&amp;VersaPro!C31&amp;" #")</f>
        <v/>
      </c>
      <c r="D31" s="1" t="str">
        <f>IF(LEN(VersaPro!D31)=0,"",CHAR(10)&amp;"key *W-*A-*S-*C-m"&amp;MOD(ROW()-8,14)&amp;"-"&amp;VersaPro!D$19&amp;" = *W-*A-*S-*C-"&amp;VersaPro!D31&amp;" #")</f>
        <v xml:space="preserve">
key *W-*A-*S-*C-m9-Colon = *W-*A-*S-*C-S-C-← #</v>
      </c>
      <c r="E31" s="1" t="str">
        <f>IF(LEN(VersaPro!E31)=0,"",CHAR(10)&amp;"key *W-*A-*S-*C-m"&amp;MOD(ROW()-8,14)&amp;"-"&amp;VersaPro!E$19&amp;" = *W-*A-*S-*C-"&amp;VersaPro!E31&amp;" #")</f>
        <v xml:space="preserve">
key *W-*A-*S-*C-m9-Comma = *W-*A-*S-*C-S-C-→ #</v>
      </c>
      <c r="F31" s="1" t="str">
        <f>IF(LEN(VersaPro!F31)=0,"",CHAR(10)&amp;"key *W-*A-*S-*C-m"&amp;MOD(ROW()-8,14)&amp;"-"&amp;VersaPro!F$19&amp;" = *W-*A-*S-*C-"&amp;VersaPro!F31&amp;" #")</f>
        <v xml:space="preserve">
key *W-*A-*S-*C-m9-。 = *W-*A-*S-*C-S-C-↓ #</v>
      </c>
      <c r="G31" s="1" t="str">
        <f>IF(LEN(VersaPro!G31)=0,"",CHAR(10)&amp;"key *W-*A-*S-*C-m"&amp;MOD(ROW()-8,14)&amp;"-"&amp;VersaPro!G$19&amp;" = *W-*A-*S-*C-"&amp;VersaPro!G31&amp;" #")</f>
        <v xml:space="preserve">
key *W-*A-*S-*C-m9-P = *W-*A-*S-*C-S-C-↑ #</v>
      </c>
      <c r="H31" s="1" t="str">
        <f>IF(LEN(VersaPro!H31)=0,"",CHAR(10)&amp;"key *W-*A-*S-*C-m"&amp;MOD(ROW()-8,14)&amp;"-"&amp;VersaPro!H$19&amp;" = *W-*A-*S-*C-"&amp;VersaPro!H31&amp;" #")</f>
        <v xml:space="preserve">
key *W-*A-*S-*C-m9-Y = *W-*A-*S-*C-＠ #</v>
      </c>
      <c r="I31" s="1" t="str">
        <f>IF(LEN(VersaPro!I31)=0,"",CHAR(10)&amp;"key *W-*A-*S-*C-m"&amp;MOD(ROW()-8,14)&amp;"-"&amp;VersaPro!I$19&amp;" = *W-*A-*S-*C-"&amp;VersaPro!I31&amp;" #")</f>
        <v/>
      </c>
      <c r="J31" s="1" t="str">
        <f>IF(LEN(VersaPro!J31)=0,"",CHAR(10)&amp;"key *W-*A-*S-*C-m"&amp;MOD(ROW()-8,14)&amp;"-"&amp;VersaPro!J$19&amp;" = *W-*A-*S-*C-"&amp;VersaPro!J31&amp;" #")</f>
        <v/>
      </c>
      <c r="K31" s="1" t="str">
        <f>IF(LEN(VersaPro!K31)=0,"",CHAR(10)&amp;"key *W-*A-*S-*C-m"&amp;MOD(ROW()-8,14)&amp;"-"&amp;VersaPro!K$19&amp;" = *W-*A-*S-*C-"&amp;VersaPro!K31&amp;" #")</f>
        <v/>
      </c>
      <c r="L31" s="1" t="str">
        <f>IF(LEN(VersaPro!L31)=0,"",CHAR(10)&amp;"key *W-*A-*S-*C-m"&amp;MOD(ROW()-8,14)&amp;"-"&amp;VersaPro!L$19&amp;" = *W-*A-*S-*C-"&amp;VersaPro!L31&amp;" #")</f>
        <v/>
      </c>
      <c r="M31" s="1" t="str">
        <f>IF(LEN(VersaPro!M31)=0,"",CHAR(10)&amp;"key *W-*A-*S-*C-m"&amp;MOD(ROW()-8,14)&amp;"-"&amp;VersaPro!M$19&amp;" = *W-*A-*S-*C-"&amp;VersaPro!M31&amp;" #")</f>
        <v/>
      </c>
      <c r="N31" s="1" t="str">
        <f>IF(LEN(VersaPro!N31)=0,"",CHAR(10)&amp;"key *W-*A-*S-*C-m"&amp;MOD(ROW()-8,14)&amp;"-"&amp;VersaPro!N$19&amp;" = *W-*A-*S-*C-"&amp;VersaPro!N31&amp;" #")</f>
        <v/>
      </c>
      <c r="O31" s="1" t="str">
        <f>IF(LEN(VersaPro!O31)=0,"",CHAR(10)&amp;"key *W-*A-*S-*C-m"&amp;MOD(ROW()-8,14)&amp;"-"&amp;VersaPro!O$19&amp;" = *W-*A-*S-*C-"&amp;VersaPro!O31&amp;" #")</f>
        <v/>
      </c>
      <c r="P31" s="1" t="str">
        <f>IF(LEN(VersaPro!P31)=0,"",CHAR(10)&amp;"key *W-*A-*S-*C-m"&amp;MOD(ROW()-8,14)&amp;"-"&amp;VersaPro!P$19&amp;" = *W-*A-*S-*C-"&amp;VersaPro!P31&amp;" #")</f>
        <v/>
      </c>
      <c r="Q31" s="1" t="str">
        <f>IF(LEN(VersaPro!Q31)=0,"",CHAR(10)&amp;"key *W-*A-*S-*C-m"&amp;MOD(ROW()-8,14)&amp;"-"&amp;VersaPro!Q$19&amp;" = *W-*A-*S-*C-"&amp;VersaPro!Q31&amp;" #")</f>
        <v/>
      </c>
      <c r="R31" s="1" t="str">
        <f>IF(LEN(VersaPro!R31)=0,"",CHAR(10)&amp;"key *W-*A-*S-*C-m"&amp;MOD(ROW()-8,14)&amp;"-"&amp;VersaPro!R$19&amp;" = *W-*A-*S-*C-"&amp;VersaPro!R31&amp;" #")</f>
        <v/>
      </c>
    </row>
    <row r="32" spans="1:18" x14ac:dyDescent="0.7">
      <c r="A32" s="1" t="s">
        <v>153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7">
      <c r="A33" s="1" t="s">
        <v>230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7">
      <c r="A34" s="1" t="s">
        <v>154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7">
      <c r="A35" s="1" t="s">
        <v>153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7">
      <c r="A36" s="1" t="str">
        <f t="shared" ref="A36:A45" si="2" xml:space="preserve"> "# mod"&amp;MOD(ROW()-8,14)</f>
        <v># mod0</v>
      </c>
      <c r="B36" s="1" t="str">
        <f>IF(LEN(VersaPro!B36)=0,"",CHAR(10)&amp;"key *W-*A-*S-*C-m"&amp;MOD(ROW()-8,14)&amp;"-"&amp;VersaPro!B$33&amp;" = *W-*A-*S-*C-"&amp;VersaPro!B36&amp;" #")</f>
        <v/>
      </c>
      <c r="C36" s="1" t="str">
        <f>IF(LEN(VersaPro!C36)=0,"",CHAR(10)&amp;"key *W-*A-*S-*C-m"&amp;MOD(ROW()-8,14)&amp;"-"&amp;VersaPro!C$33&amp;" = *W-*A-*S-*C-"&amp;VersaPro!C36&amp;" #")</f>
        <v/>
      </c>
      <c r="D36" s="1" t="str">
        <f>IF(LEN(VersaPro!D36)=0,"",CHAR(10)&amp;"key *W-*A-*S-*C-m"&amp;MOD(ROW()-8,14)&amp;"-"&amp;VersaPro!D$33&amp;" = *W-*A-*S-*C-"&amp;VersaPro!D36&amp;" #")</f>
        <v xml:space="preserve">
key *W-*A-*S-*C-m0-A = *W-*A-*S-*C-_1 #</v>
      </c>
      <c r="E36" s="1" t="str">
        <f>IF(LEN(VersaPro!E36)=0,"",CHAR(10)&amp;"key *W-*A-*S-*C-m"&amp;MOD(ROW()-8,14)&amp;"-"&amp;VersaPro!E$33&amp;" = *W-*A-*S-*C-"&amp;VersaPro!E36&amp;" #")</f>
        <v xml:space="preserve">
key *W-*A-*S-*C-m0-O = *W-*A-*S-*C-_2 #</v>
      </c>
      <c r="F36" s="1" t="str">
        <f>IF(LEN(VersaPro!F36)=0,"",CHAR(10)&amp;"key *W-*A-*S-*C-m"&amp;MOD(ROW()-8,14)&amp;"-"&amp;VersaPro!F$33&amp;" = *W-*A-*S-*C-"&amp;VersaPro!F36&amp;" #")</f>
        <v xml:space="preserve">
key *W-*A-*S-*C-m0-E = *W-*A-*S-*C-_3 #</v>
      </c>
      <c r="G36" s="1" t="str">
        <f>IF(LEN(VersaPro!G36)=0,"",CHAR(10)&amp;"key *W-*A-*S-*C-m"&amp;MOD(ROW()-8,14)&amp;"-"&amp;VersaPro!G$33&amp;" = *W-*A-*S-*C-"&amp;VersaPro!G36&amp;" #")</f>
        <v xml:space="preserve">
key *W-*A-*S-*C-m0-U = *W-*A-*S-*C-_4 #</v>
      </c>
      <c r="H36" s="1" t="str">
        <f>IF(LEN(VersaPro!H36)=0,"",CHAR(10)&amp;"key *W-*A-*S-*C-m"&amp;MOD(ROW()-8,14)&amp;"-"&amp;VersaPro!H$33&amp;" = *W-*A-*S-*C-"&amp;VersaPro!H36&amp;" #")</f>
        <v xml:space="preserve">
key *W-*A-*S-*C-m0-I = *W-*A-*S-*C-_5 #</v>
      </c>
      <c r="I36" s="1" t="str">
        <f>IF(LEN(VersaPro!I36)=0,"",CHAR(10)&amp;"key *W-*A-*S-*C-m"&amp;MOD(ROW()-8,14)&amp;"-"&amp;VersaPro!I$33&amp;" = *W-*A-*S-*C-"&amp;VersaPro!I36&amp;" #")</f>
        <v xml:space="preserve">
key *W-*A-*S-*C-m0-D = *W-*A-*S-*C-_6 #</v>
      </c>
      <c r="J36" s="1" t="str">
        <f>IF(LEN(VersaPro!J36)=0,"",CHAR(10)&amp;"key *W-*A-*S-*C-m"&amp;MOD(ROW()-8,14)&amp;"-"&amp;VersaPro!J$33&amp;" = *W-*A-*S-*C-"&amp;VersaPro!J36&amp;" #")</f>
        <v xml:space="preserve">
key *W-*A-*S-*C-m0-H = *W-*A-*S-*C-_7 #</v>
      </c>
      <c r="K36" s="1" t="str">
        <f>IF(LEN(VersaPro!K36)=0,"",CHAR(10)&amp;"key *W-*A-*S-*C-m"&amp;MOD(ROW()-8,14)&amp;"-"&amp;VersaPro!K$33&amp;" = *W-*A-*S-*C-"&amp;VersaPro!K36&amp;" #")</f>
        <v xml:space="preserve">
key *W-*A-*S-*C-m0-T = *W-*A-*S-*C-_8 #</v>
      </c>
      <c r="L36" s="1" t="str">
        <f>IF(LEN(VersaPro!L36)=0,"",CHAR(10)&amp;"key *W-*A-*S-*C-m"&amp;MOD(ROW()-8,14)&amp;"-"&amp;VersaPro!L$33&amp;" = *W-*A-*S-*C-"&amp;VersaPro!L36&amp;" #")</f>
        <v xml:space="preserve">
key *W-*A-*S-*C-m0-N = *W-*A-*S-*C-_9 #</v>
      </c>
      <c r="M36" s="1" t="str">
        <f>IF(LEN(VersaPro!M36)=0,"",CHAR(10)&amp;"key *W-*A-*S-*C-m"&amp;MOD(ROW()-8,14)&amp;"-"&amp;VersaPro!M$33&amp;" = *W-*A-*S-*C-"&amp;VersaPro!M36&amp;" #")</f>
        <v xml:space="preserve">
key *W-*A-*S-*C-m0-S = *W-*A-*S-*C-_0 #</v>
      </c>
      <c r="N36" s="1" t="str">
        <f>IF(LEN(VersaPro!N36)=0,"",CHAR(10)&amp;"key *W-*A-*S-*C-m"&amp;MOD(ROW()-8,14)&amp;"-"&amp;VersaPro!N$33&amp;" = *W-*A-*S-*C-"&amp;VersaPro!N36&amp;" #")</f>
        <v xml:space="preserve">
key *W-*A-*S-*C-m0-HyphenMinus = *W-*A-*S-*C-F12 #</v>
      </c>
      <c r="O36" s="1" t="str">
        <f>IF(LEN(VersaPro!O36)=0,"",CHAR(10)&amp;"key *W-*A-*S-*C-m"&amp;MOD(ROW()-8,14)&amp;"-"&amp;VersaPro!O$33&amp;" = *W-*A-*S-*C-"&amp;VersaPro!O36&amp;" #")</f>
        <v/>
      </c>
      <c r="P36" s="1" t="str">
        <f>IF(LEN(VersaPro!P36)=0,"",CHAR(10)&amp;"key *W-*A-*S-*C-m"&amp;MOD(ROW()-8,14)&amp;"-"&amp;VersaPro!P$33&amp;" = *W-*A-*S-*C-"&amp;VersaPro!P36&amp;" #")</f>
        <v/>
      </c>
      <c r="Q36" s="1" t="str">
        <f>IF(LEN(VersaPro!Q36)=0,"",CHAR(10)&amp;"key *W-*A-*S-*C-m"&amp;MOD(ROW()-8,14)&amp;"-"&amp;VersaPro!Q$33&amp;" = *W-*A-*S-*C-"&amp;VersaPro!Q36&amp;" #")</f>
        <v/>
      </c>
      <c r="R36" s="1" t="str">
        <f>IF(LEN(VersaPro!R36)=0,"",CHAR(10)&amp;"key *W-*A-*S-*C-m"&amp;MOD(ROW()-8,14)&amp;"-"&amp;VersaPro!R$33&amp;" = *W-*A-*S-*C-"&amp;VersaPro!R36&amp;" #")</f>
        <v/>
      </c>
    </row>
    <row r="37" spans="1:18" x14ac:dyDescent="0.7">
      <c r="A37" s="1" t="str">
        <f t="shared" si="2"/>
        <v># mod1</v>
      </c>
      <c r="B37" s="1" t="str">
        <f>IF(LEN(VersaPro!B37)=0,"",CHAR(10)&amp;"key *W-*A-*S-*C-m"&amp;MOD(ROW()-8,14)&amp;"-"&amp;VersaPro!B$33&amp;" = *W-*A-*S-*C-"&amp;VersaPro!B37&amp;" #")</f>
        <v/>
      </c>
      <c r="C37" s="1" t="str">
        <f>IF(LEN(VersaPro!C37)=0,"",CHAR(10)&amp;"key *W-*A-*S-*C-m"&amp;MOD(ROW()-8,14)&amp;"-"&amp;VersaPro!C$33&amp;" = *W-*A-*S-*C-"&amp;VersaPro!C37&amp;" #")</f>
        <v/>
      </c>
      <c r="D37" s="1" t="str">
        <f>IF(LEN(VersaPro!D37)=0,"",CHAR(10)&amp;"key *W-*A-*S-*C-m"&amp;MOD(ROW()-8,14)&amp;"-"&amp;VersaPro!D$33&amp;" = *W-*A-*S-*C-"&amp;VersaPro!D37&amp;" #")</f>
        <v xml:space="preserve">
key *W-*A-*S-*C-m1-A = *W-*A-*S-*C-S #</v>
      </c>
      <c r="E37" s="1" t="str">
        <f>IF(LEN(VersaPro!E37)=0,"",CHAR(10)&amp;"key *W-*A-*S-*C-m"&amp;MOD(ROW()-8,14)&amp;"-"&amp;VersaPro!E$33&amp;" = *W-*A-*S-*C-"&amp;VersaPro!E37&amp;" #")</f>
        <v xml:space="preserve">
key *W-*A-*S-*C-m1-O = *W-*A-*S-*C-N #</v>
      </c>
      <c r="F37" s="1" t="str">
        <f>IF(LEN(VersaPro!F37)=0,"",CHAR(10)&amp;"key *W-*A-*S-*C-m"&amp;MOD(ROW()-8,14)&amp;"-"&amp;VersaPro!F$33&amp;" = *W-*A-*S-*C-"&amp;VersaPro!F37&amp;" #")</f>
        <v xml:space="preserve">
key *W-*A-*S-*C-m1-E = *W-*A-*S-*C-T #</v>
      </c>
      <c r="G37" s="1" t="str">
        <f>IF(LEN(VersaPro!G37)=0,"",CHAR(10)&amp;"key *W-*A-*S-*C-m"&amp;MOD(ROW()-8,14)&amp;"-"&amp;VersaPro!G$33&amp;" = *W-*A-*S-*C-"&amp;VersaPro!G37&amp;" #")</f>
        <v xml:space="preserve">
key *W-*A-*S-*C-m1-U = *W-*A-*S-*C-H #</v>
      </c>
      <c r="H37" s="1" t="str">
        <f>IF(LEN(VersaPro!H37)=0,"",CHAR(10)&amp;"key *W-*A-*S-*C-m"&amp;MOD(ROW()-8,14)&amp;"-"&amp;VersaPro!H$33&amp;" = *W-*A-*S-*C-"&amp;VersaPro!H37&amp;" #")</f>
        <v xml:space="preserve">
key *W-*A-*S-*C-m1-I = *W-*A-*S-*C-D #</v>
      </c>
      <c r="I37" s="1" t="str">
        <f>IF(LEN(VersaPro!I37)=0,"",CHAR(10)&amp;"key *W-*A-*S-*C-m"&amp;MOD(ROW()-8,14)&amp;"-"&amp;VersaPro!I$33&amp;" = *W-*A-*S-*C-"&amp;VersaPro!I37&amp;" #")</f>
        <v xml:space="preserve">
key *W-*A-*S-*C-m1-D = *W-*A-*S-*C-＠ #</v>
      </c>
      <c r="J37" s="1" t="str">
        <f>IF(LEN(VersaPro!J37)=0,"",CHAR(10)&amp;"key *W-*A-*S-*C-m"&amp;MOD(ROW()-8,14)&amp;"-"&amp;VersaPro!J$33&amp;" = *W-*A-*S-*C-"&amp;VersaPro!J37&amp;" #")</f>
        <v xml:space="preserve">
key *W-*A-*S-*C-m1-H = *W-*A-*S-*C-＠ #</v>
      </c>
      <c r="K37" s="1" t="str">
        <f>IF(LEN(VersaPro!K37)=0,"",CHAR(10)&amp;"key *W-*A-*S-*C-m"&amp;MOD(ROW()-8,14)&amp;"-"&amp;VersaPro!K$33&amp;" = *W-*A-*S-*C-"&amp;VersaPro!K37&amp;" #")</f>
        <v xml:space="preserve">
key *W-*A-*S-*C-m1-T = *W-*A-*S-*C-＠ #</v>
      </c>
      <c r="L37" s="1" t="str">
        <f>IF(LEN(VersaPro!L37)=0,"",CHAR(10)&amp;"key *W-*A-*S-*C-m"&amp;MOD(ROW()-8,14)&amp;"-"&amp;VersaPro!L$33&amp;" = *W-*A-*S-*C-"&amp;VersaPro!L37&amp;" #")</f>
        <v xml:space="preserve">
key *W-*A-*S-*C-m1-N = *W-*A-*S-*C-＠ #</v>
      </c>
      <c r="M37" s="1" t="str">
        <f>IF(LEN(VersaPro!M37)=0,"",CHAR(10)&amp;"key *W-*A-*S-*C-m"&amp;MOD(ROW()-8,14)&amp;"-"&amp;VersaPro!M$33&amp;" = *W-*A-*S-*C-"&amp;VersaPro!M37&amp;" #")</f>
        <v xml:space="preserve">
key *W-*A-*S-*C-m1-S = *W-*A-*S-*C-＠ #</v>
      </c>
      <c r="N37" s="1" t="str">
        <f>IF(LEN(VersaPro!N37)=0,"",CHAR(10)&amp;"key *W-*A-*S-*C-m"&amp;MOD(ROW()-8,14)&amp;"-"&amp;VersaPro!N$33&amp;" = *W-*A-*S-*C-"&amp;VersaPro!N37&amp;" #")</f>
        <v xml:space="preserve">
key *W-*A-*S-*C-m1-HyphenMinus = *W-*A-*S-*C-＠ #</v>
      </c>
      <c r="O37" s="1" t="str">
        <f>IF(LEN(VersaPro!O37)=0,"",CHAR(10)&amp;"key *W-*A-*S-*C-m"&amp;MOD(ROW()-8,14)&amp;"-"&amp;VersaPro!O$33&amp;" = *W-*A-*S-*C-"&amp;VersaPro!O37&amp;" #")</f>
        <v/>
      </c>
      <c r="P37" s="1" t="str">
        <f>IF(LEN(VersaPro!P37)=0,"",CHAR(10)&amp;"key *W-*A-*S-*C-m"&amp;MOD(ROW()-8,14)&amp;"-"&amp;VersaPro!P$33&amp;" = *W-*A-*S-*C-"&amp;VersaPro!P37&amp;" #")</f>
        <v/>
      </c>
      <c r="Q37" s="1" t="str">
        <f>IF(LEN(VersaPro!Q37)=0,"",CHAR(10)&amp;"key *W-*A-*S-*C-m"&amp;MOD(ROW()-8,14)&amp;"-"&amp;VersaPro!Q$33&amp;" = *W-*A-*S-*C-"&amp;VersaPro!Q37&amp;" #")</f>
        <v/>
      </c>
      <c r="R37" s="1" t="str">
        <f>IF(LEN(VersaPro!R37)=0,"",CHAR(10)&amp;"key *W-*A-*S-*C-m"&amp;MOD(ROW()-8,14)&amp;"-"&amp;VersaPro!R$33&amp;" = *W-*A-*S-*C-"&amp;VersaPro!R37&amp;" #")</f>
        <v/>
      </c>
    </row>
    <row r="38" spans="1:18" x14ac:dyDescent="0.7">
      <c r="A38" s="1" t="str">
        <f t="shared" si="2"/>
        <v># mod2</v>
      </c>
      <c r="B38" s="1" t="str">
        <f>IF(LEN(VersaPro!B38)=0,"",CHAR(10)&amp;"key *W-*A-*S-*C-m"&amp;MOD(ROW()-8,14)&amp;"-"&amp;VersaPro!B$33&amp;" = *W-*A-*S-*C-"&amp;VersaPro!B38&amp;" #")</f>
        <v/>
      </c>
      <c r="C38" s="1" t="str">
        <f>IF(LEN(VersaPro!C38)=0,"",CHAR(10)&amp;"key *W-*A-*S-*C-m"&amp;MOD(ROW()-8,14)&amp;"-"&amp;VersaPro!C$33&amp;" = *W-*A-*S-*C-"&amp;VersaPro!C38&amp;" #")</f>
        <v/>
      </c>
      <c r="D38" s="1" t="str">
        <f>IF(LEN(VersaPro!D38)=0,"",CHAR(10)&amp;"key *W-*A-*S-*C-m"&amp;MOD(ROW()-8,14)&amp;"-"&amp;VersaPro!D$33&amp;" = *W-*A-*S-*C-"&amp;VersaPro!D38&amp;" #")</f>
        <v xml:space="preserve">
key *W-*A-*S-*C-m2-A = *W-*A-*S-*C-$LEFT_PARENTHESIS #</v>
      </c>
      <c r="E38" s="1" t="str">
        <f>IF(LEN(VersaPro!E38)=0,"",CHAR(10)&amp;"key *W-*A-*S-*C-m"&amp;MOD(ROW()-8,14)&amp;"-"&amp;VersaPro!E$33&amp;" = *W-*A-*S-*C-"&amp;VersaPro!E38&amp;" #")</f>
        <v xml:space="preserve">
key *W-*A-*S-*C-m2-O = *W-*A-*S-*C-$RIGHT_PARENTHESIS #</v>
      </c>
      <c r="F38" s="1" t="str">
        <f>IF(LEN(VersaPro!F38)=0,"",CHAR(10)&amp;"key *W-*A-*S-*C-m"&amp;MOD(ROW()-8,14)&amp;"-"&amp;VersaPro!F$33&amp;" = *W-*A-*S-*C-"&amp;VersaPro!F38&amp;" #")</f>
        <v xml:space="preserve">
key *W-*A-*S-*C-m2-E = *W-*A-*S-*C-$LEFT_CURLY_BRACKET #</v>
      </c>
      <c r="G38" s="1" t="str">
        <f>IF(LEN(VersaPro!G38)=0,"",CHAR(10)&amp;"key *W-*A-*S-*C-m"&amp;MOD(ROW()-8,14)&amp;"-"&amp;VersaPro!G$33&amp;" = *W-*A-*S-*C-"&amp;VersaPro!G38&amp;" #")</f>
        <v xml:space="preserve">
key *W-*A-*S-*C-m2-U = *W-*A-*S-*C-$RIGHT_CURLY_BRACKET #</v>
      </c>
      <c r="H38" s="1" t="str">
        <f>IF(LEN(VersaPro!H38)=0,"",CHAR(10)&amp;"key *W-*A-*S-*C-m"&amp;MOD(ROW()-8,14)&amp;"-"&amp;VersaPro!H$33&amp;" = *W-*A-*S-*C-"&amp;VersaPro!H38&amp;" #")</f>
        <v xml:space="preserve">
key *W-*A-*S-*C-m2-I = *W-*A-*S-*C-$LEFT_PARENTHESIS #</v>
      </c>
      <c r="I38" s="1" t="str">
        <f>IF(LEN(VersaPro!I38)=0,"",CHAR(10)&amp;"key *W-*A-*S-*C-m"&amp;MOD(ROW()-8,14)&amp;"-"&amp;VersaPro!I$33&amp;" = *W-*A-*S-*C-"&amp;VersaPro!I38&amp;" #")</f>
        <v xml:space="preserve">
key *W-*A-*S-*C-m2-D = *W-*A-*S-*C-$RIGHT_PARENTHESIS #</v>
      </c>
      <c r="J38" s="1" t="str">
        <f>IF(LEN(VersaPro!J38)=0,"",CHAR(10)&amp;"key *W-*A-*S-*C-m"&amp;MOD(ROW()-8,14)&amp;"-"&amp;VersaPro!J$33&amp;" = *W-*A-*S-*C-"&amp;VersaPro!J38&amp;" #")</f>
        <v xml:space="preserve">
key *W-*A-*S-*C-m2-H = *W-*A-*S-*C-$LEFT_SQUARE_BRACKET #</v>
      </c>
      <c r="K38" s="1" t="str">
        <f>IF(LEN(VersaPro!K38)=0,"",CHAR(10)&amp;"key *W-*A-*S-*C-m"&amp;MOD(ROW()-8,14)&amp;"-"&amp;VersaPro!K$33&amp;" = *W-*A-*S-*C-"&amp;VersaPro!K38&amp;" #")</f>
        <v xml:space="preserve">
key *W-*A-*S-*C-m2-T = *W-*A-*S-*C-$RIGHT_SQUARE_BRACKET #</v>
      </c>
      <c r="L38" s="1" t="str">
        <f>IF(LEN(VersaPro!L38)=0,"",CHAR(10)&amp;"key *W-*A-*S-*C-m"&amp;MOD(ROW()-8,14)&amp;"-"&amp;VersaPro!L$33&amp;" = *W-*A-*S-*C-"&amp;VersaPro!L38&amp;" #")</f>
        <v xml:space="preserve">
key *W-*A-*S-*C-m2-N = *W-*A-*S-*C-$LESS-THAN_SIGN #</v>
      </c>
      <c r="M38" s="1" t="str">
        <f>IF(LEN(VersaPro!M38)=0,"",CHAR(10)&amp;"key *W-*A-*S-*C-m"&amp;MOD(ROW()-8,14)&amp;"-"&amp;VersaPro!M$33&amp;" = *W-*A-*S-*C-"&amp;VersaPro!M38&amp;" #")</f>
        <v xml:space="preserve">
key *W-*A-*S-*C-m2-S = *W-*A-*S-*C-$GREATER-THAN_SIGN #</v>
      </c>
      <c r="N38" s="1" t="str">
        <f>IF(LEN(VersaPro!N38)=0,"",CHAR(10)&amp;"key *W-*A-*S-*C-m"&amp;MOD(ROW()-8,14)&amp;"-"&amp;VersaPro!N$33&amp;" = *W-*A-*S-*C-"&amp;VersaPro!N38&amp;" #")</f>
        <v xml:space="preserve">
key *W-*A-*S-*C-m2-HyphenMinus = *W-*A-*S-*C-＠ #</v>
      </c>
      <c r="O38" s="1" t="str">
        <f>IF(LEN(VersaPro!O38)=0,"",CHAR(10)&amp;"key *W-*A-*S-*C-m"&amp;MOD(ROW()-8,14)&amp;"-"&amp;VersaPro!O$33&amp;" = *W-*A-*S-*C-"&amp;VersaPro!O38&amp;" #")</f>
        <v/>
      </c>
      <c r="P38" s="1" t="str">
        <f>IF(LEN(VersaPro!P38)=0,"",CHAR(10)&amp;"key *W-*A-*S-*C-m"&amp;MOD(ROW()-8,14)&amp;"-"&amp;VersaPro!P$33&amp;" = *W-*A-*S-*C-"&amp;VersaPro!P38&amp;" #")</f>
        <v/>
      </c>
      <c r="Q38" s="1" t="str">
        <f>IF(LEN(VersaPro!Q38)=0,"",CHAR(10)&amp;"key *W-*A-*S-*C-m"&amp;MOD(ROW()-8,14)&amp;"-"&amp;VersaPro!Q$33&amp;" = *W-*A-*S-*C-"&amp;VersaPro!Q38&amp;" #")</f>
        <v/>
      </c>
      <c r="R38" s="1" t="str">
        <f>IF(LEN(VersaPro!R38)=0,"",CHAR(10)&amp;"key *W-*A-*S-*C-m"&amp;MOD(ROW()-8,14)&amp;"-"&amp;VersaPro!R$33&amp;" = *W-*A-*S-*C-"&amp;VersaPro!R38&amp;" #")</f>
        <v/>
      </c>
    </row>
    <row r="39" spans="1:18" x14ac:dyDescent="0.7">
      <c r="A39" s="1" t="str">
        <f t="shared" si="2"/>
        <v># mod3</v>
      </c>
      <c r="B39" s="1" t="str">
        <f>IF(LEN(VersaPro!B39)=0,"",CHAR(10)&amp;"key *W-*A-*S-*C-m"&amp;MOD(ROW()-8,14)&amp;"-"&amp;VersaPro!B$33&amp;" = *W-*A-*S-*C-"&amp;VersaPro!B39&amp;" #")</f>
        <v/>
      </c>
      <c r="C39" s="1" t="str">
        <f>IF(LEN(VersaPro!C39)=0,"",CHAR(10)&amp;"key *W-*A-*S-*C-m"&amp;MOD(ROW()-8,14)&amp;"-"&amp;VersaPro!C$33&amp;" = *W-*A-*S-*C-"&amp;VersaPro!C39&amp;" #")</f>
        <v xml:space="preserve">
key *W-*A-*S-*C-m3-Minus = *W-*A-*S-*C-S-ー #</v>
      </c>
      <c r="D39" s="1" t="str">
        <f>IF(LEN(VersaPro!D39)=0,"",CHAR(10)&amp;"key *W-*A-*S-*C-m"&amp;MOD(ROW()-8,14)&amp;"-"&amp;VersaPro!D$33&amp;" = *W-*A-*S-*C-"&amp;VersaPro!D39&amp;" #")</f>
        <v xml:space="preserve">
key *W-*A-*S-*C-m3-A = *W-*A-*S-*C-$GREATER-THAN_SIGN #</v>
      </c>
      <c r="E39" s="1" t="str">
        <f>IF(LEN(VersaPro!E39)=0,"",CHAR(10)&amp;"key *W-*A-*S-*C-m"&amp;MOD(ROW()-8,14)&amp;"-"&amp;VersaPro!E$33&amp;" = *W-*A-*S-*C-"&amp;VersaPro!E39&amp;" #")</f>
        <v xml:space="preserve">
key *W-*A-*S-*C-m3-O = *W-*A-*S-*C-$LESS-THAN_SIGN #</v>
      </c>
      <c r="F39" s="1" t="str">
        <f>IF(LEN(VersaPro!F39)=0,"",CHAR(10)&amp;"key *W-*A-*S-*C-m"&amp;MOD(ROW()-8,14)&amp;"-"&amp;VersaPro!F$33&amp;" = *W-*A-*S-*C-"&amp;VersaPro!F39&amp;" #")</f>
        <v xml:space="preserve">
key *W-*A-*S-*C-m3-E = *W-*A-*S-*C-$RIGHT_SQUARE_BRACKET #</v>
      </c>
      <c r="G39" s="1" t="str">
        <f>IF(LEN(VersaPro!G39)=0,"",CHAR(10)&amp;"key *W-*A-*S-*C-m"&amp;MOD(ROW()-8,14)&amp;"-"&amp;VersaPro!G$33&amp;" = *W-*A-*S-*C-"&amp;VersaPro!G39&amp;" #")</f>
        <v xml:space="preserve">
key *W-*A-*S-*C-m3-U = *W-*A-*S-*C-$LEFT_SQUARE_BRACKET #</v>
      </c>
      <c r="H39" s="1" t="str">
        <f>IF(LEN(VersaPro!H39)=0,"",CHAR(10)&amp;"key *W-*A-*S-*C-m"&amp;MOD(ROW()-8,14)&amp;"-"&amp;VersaPro!H$33&amp;" = *W-*A-*S-*C-"&amp;VersaPro!H39&amp;" #")</f>
        <v xml:space="preserve">
key *W-*A-*S-*C-m3-I = *W-*A-*S-*C-$RIGHT_PARENTHESIS #</v>
      </c>
      <c r="I39" s="1" t="str">
        <f>IF(LEN(VersaPro!I39)=0,"",CHAR(10)&amp;"key *W-*A-*S-*C-m"&amp;MOD(ROW()-8,14)&amp;"-"&amp;VersaPro!I$33&amp;" = *W-*A-*S-*C-"&amp;VersaPro!I39&amp;" #")</f>
        <v/>
      </c>
      <c r="J39" s="1" t="str">
        <f>IF(LEN(VersaPro!J39)=0,"",CHAR(10)&amp;"key *W-*A-*S-*C-m"&amp;MOD(ROW()-8,14)&amp;"-"&amp;VersaPro!J$33&amp;" = *W-*A-*S-*C-"&amp;VersaPro!J39&amp;" #")</f>
        <v/>
      </c>
      <c r="K39" s="1" t="str">
        <f>IF(LEN(VersaPro!K39)=0,"",CHAR(10)&amp;"key *W-*A-*S-*C-m"&amp;MOD(ROW()-8,14)&amp;"-"&amp;VersaPro!K$33&amp;" = *W-*A-*S-*C-"&amp;VersaPro!K39&amp;" #")</f>
        <v/>
      </c>
      <c r="L39" s="1" t="str">
        <f>IF(LEN(VersaPro!L39)=0,"",CHAR(10)&amp;"key *W-*A-*S-*C-m"&amp;MOD(ROW()-8,14)&amp;"-"&amp;VersaPro!L$33&amp;" = *W-*A-*S-*C-"&amp;VersaPro!L39&amp;" #")</f>
        <v/>
      </c>
      <c r="M39" s="1" t="str">
        <f>IF(LEN(VersaPro!M39)=0,"",CHAR(10)&amp;"key *W-*A-*S-*C-m"&amp;MOD(ROW()-8,14)&amp;"-"&amp;VersaPro!M$33&amp;" = *W-*A-*S-*C-"&amp;VersaPro!M39&amp;" #")</f>
        <v/>
      </c>
      <c r="N39" s="1" t="str">
        <f>IF(LEN(VersaPro!N39)=0,"",CHAR(10)&amp;"key *W-*A-*S-*C-m"&amp;MOD(ROW()-8,14)&amp;"-"&amp;VersaPro!N$33&amp;" = *W-*A-*S-*C-"&amp;VersaPro!N39&amp;" #")</f>
        <v/>
      </c>
      <c r="O39" s="1" t="str">
        <f>IF(LEN(VersaPro!O39)=0,"",CHAR(10)&amp;"key *W-*A-*S-*C-m"&amp;MOD(ROW()-8,14)&amp;"-"&amp;VersaPro!O$33&amp;" = *W-*A-*S-*C-"&amp;VersaPro!O39&amp;" #")</f>
        <v/>
      </c>
      <c r="P39" s="1" t="str">
        <f>IF(LEN(VersaPro!P39)=0,"",CHAR(10)&amp;"key *W-*A-*S-*C-m"&amp;MOD(ROW()-8,14)&amp;"-"&amp;VersaPro!P$33&amp;" = *W-*A-*S-*C-"&amp;VersaPro!P39&amp;" #")</f>
        <v/>
      </c>
      <c r="Q39" s="1" t="str">
        <f>IF(LEN(VersaPro!Q39)=0,"",CHAR(10)&amp;"key *W-*A-*S-*C-m"&amp;MOD(ROW()-8,14)&amp;"-"&amp;VersaPro!Q$33&amp;" = *W-*A-*S-*C-"&amp;VersaPro!Q39&amp;" #")</f>
        <v/>
      </c>
      <c r="R39" s="1" t="str">
        <f>IF(LEN(VersaPro!R39)=0,"",CHAR(10)&amp;"key *W-*A-*S-*C-m"&amp;MOD(ROW()-8,14)&amp;"-"&amp;VersaPro!R$33&amp;" = *W-*A-*S-*C-"&amp;VersaPro!R39&amp;" #")</f>
        <v/>
      </c>
    </row>
    <row r="40" spans="1:18" x14ac:dyDescent="0.7">
      <c r="A40" s="1" t="str">
        <f t="shared" si="2"/>
        <v># mod4</v>
      </c>
      <c r="B40" s="1" t="str">
        <f>IF(LEN(VersaPro!B40)=0,"",CHAR(10)&amp;"key *W-*A-*S-*C-m"&amp;MOD(ROW()-8,14)&amp;"-"&amp;VersaPro!B$33&amp;" = *W-*A-*S-*C-"&amp;VersaPro!B40&amp;" #")</f>
        <v/>
      </c>
      <c r="C40" s="1" t="str">
        <f>IF(LEN(VersaPro!C40)=0,"",CHAR(10)&amp;"key *W-*A-*S-*C-m"&amp;MOD(ROW()-8,14)&amp;"-"&amp;VersaPro!C$33&amp;" = *W-*A-*S-*C-"&amp;VersaPro!C40&amp;" #")</f>
        <v/>
      </c>
      <c r="D40" s="1" t="str">
        <f>IF(LEN(VersaPro!D40)=0,"",CHAR(10)&amp;"key *W-*A-*S-*C-m"&amp;MOD(ROW()-8,14)&amp;"-"&amp;VersaPro!D$33&amp;" = *W-*A-*S-*C-"&amp;VersaPro!D40&amp;" #")</f>
        <v xml:space="preserve">
key *W-*A-*S-*C-m4-A = *W-*A-*S-*C-C-G #</v>
      </c>
      <c r="E40" s="1" t="str">
        <f>IF(LEN(VersaPro!E40)=0,"",CHAR(10)&amp;"key *W-*A-*S-*C-m"&amp;MOD(ROW()-8,14)&amp;"-"&amp;VersaPro!E$33&amp;" = *W-*A-*S-*C-"&amp;VersaPro!E40&amp;" #")</f>
        <v xml:space="preserve">
key *W-*A-*S-*C-m4-O = *W-*A-*S-*C-A-X #</v>
      </c>
      <c r="F40" s="1" t="str">
        <f>IF(LEN(VersaPro!F40)=0,"",CHAR(10)&amp;"key *W-*A-*S-*C-m"&amp;MOD(ROW()-8,14)&amp;"-"&amp;VersaPro!F$33&amp;" = *W-*A-*S-*C-"&amp;VersaPro!F40&amp;" #")</f>
        <v xml:space="preserve">
key *W-*A-*S-*C-m4-E = *W-*A-*S-*C-C-W #</v>
      </c>
      <c r="G40" s="1" t="str">
        <f>IF(LEN(VersaPro!G40)=0,"",CHAR(10)&amp;"key *W-*A-*S-*C-m"&amp;MOD(ROW()-8,14)&amp;"-"&amp;VersaPro!G$33&amp;" = *W-*A-*S-*C-"&amp;VersaPro!G40&amp;" #")</f>
        <v xml:space="preserve">
key *W-*A-*S-*C-m4-U = *W-*A-*S-*C-Kanji #</v>
      </c>
      <c r="H40" s="1" t="str">
        <f>IF(LEN(VersaPro!H40)=0,"",CHAR(10)&amp;"key *W-*A-*S-*C-m"&amp;MOD(ROW()-8,14)&amp;"-"&amp;VersaPro!H$33&amp;" = *W-*A-*S-*C-"&amp;VersaPro!H40&amp;" #")</f>
        <v xml:space="preserve">
key *W-*A-*S-*C-m4-I = *W-*A-*S-*C-S-Apps #</v>
      </c>
      <c r="I40" s="1" t="str">
        <f>IF(LEN(VersaPro!I40)=0,"",CHAR(10)&amp;"key *W-*A-*S-*C-m"&amp;MOD(ROW()-8,14)&amp;"-"&amp;VersaPro!I$33&amp;" = *W-*A-*S-*C-"&amp;VersaPro!I40&amp;" #")</f>
        <v/>
      </c>
      <c r="J40" s="1" t="str">
        <f>IF(LEN(VersaPro!J40)=0,"",CHAR(10)&amp;"key *W-*A-*S-*C-m"&amp;MOD(ROW()-8,14)&amp;"-"&amp;VersaPro!J$33&amp;" = *W-*A-*S-*C-"&amp;VersaPro!J40&amp;" #")</f>
        <v/>
      </c>
      <c r="K40" s="1" t="str">
        <f>IF(LEN(VersaPro!K40)=0,"",CHAR(10)&amp;"key *W-*A-*S-*C-m"&amp;MOD(ROW()-8,14)&amp;"-"&amp;VersaPro!K$33&amp;" = *W-*A-*S-*C-"&amp;VersaPro!K40&amp;" #")</f>
        <v/>
      </c>
      <c r="L40" s="1" t="str">
        <f>IF(LEN(VersaPro!L40)=0,"",CHAR(10)&amp;"key *W-*A-*S-*C-m"&amp;MOD(ROW()-8,14)&amp;"-"&amp;VersaPro!L$33&amp;" = *W-*A-*S-*C-"&amp;VersaPro!L40&amp;" #")</f>
        <v/>
      </c>
      <c r="M40" s="1" t="str">
        <f>IF(LEN(VersaPro!M40)=0,"",CHAR(10)&amp;"key *W-*A-*S-*C-m"&amp;MOD(ROW()-8,14)&amp;"-"&amp;VersaPro!M$33&amp;" = *W-*A-*S-*C-"&amp;VersaPro!M40&amp;" #")</f>
        <v/>
      </c>
      <c r="N40" s="1" t="str">
        <f>IF(LEN(VersaPro!N40)=0,"",CHAR(10)&amp;"key *W-*A-*S-*C-m"&amp;MOD(ROW()-8,14)&amp;"-"&amp;VersaPro!N$33&amp;" = *W-*A-*S-*C-"&amp;VersaPro!N40&amp;" #")</f>
        <v/>
      </c>
      <c r="O40" s="1" t="str">
        <f>IF(LEN(VersaPro!O40)=0,"",CHAR(10)&amp;"key *W-*A-*S-*C-m"&amp;MOD(ROW()-8,14)&amp;"-"&amp;VersaPro!O$33&amp;" = *W-*A-*S-*C-"&amp;VersaPro!O40&amp;" #")</f>
        <v/>
      </c>
      <c r="P40" s="1" t="str">
        <f>IF(LEN(VersaPro!P40)=0,"",CHAR(10)&amp;"key *W-*A-*S-*C-m"&amp;MOD(ROW()-8,14)&amp;"-"&amp;VersaPro!P$33&amp;" = *W-*A-*S-*C-"&amp;VersaPro!P40&amp;" #")</f>
        <v/>
      </c>
      <c r="Q40" s="1" t="str">
        <f>IF(LEN(VersaPro!Q40)=0,"",CHAR(10)&amp;"key *W-*A-*S-*C-m"&amp;MOD(ROW()-8,14)&amp;"-"&amp;VersaPro!Q$33&amp;" = *W-*A-*S-*C-"&amp;VersaPro!Q40&amp;" #")</f>
        <v/>
      </c>
      <c r="R40" s="1" t="str">
        <f>IF(LEN(VersaPro!R40)=0,"",CHAR(10)&amp;"key *W-*A-*S-*C-m"&amp;MOD(ROW()-8,14)&amp;"-"&amp;VersaPro!R$33&amp;" = *W-*A-*S-*C-"&amp;VersaPro!R40&amp;" #")</f>
        <v/>
      </c>
    </row>
    <row r="41" spans="1:18" x14ac:dyDescent="0.7">
      <c r="A41" s="1" t="str">
        <f t="shared" si="2"/>
        <v># mod5</v>
      </c>
      <c r="B41" s="1" t="str">
        <f>IF(LEN(VersaPro!B41)=0,"",CHAR(10)&amp;"key *W-*A-*S-*C-m"&amp;MOD(ROW()-8,14)&amp;"-"&amp;VersaPro!B$33&amp;" = *W-*A-*S-*C-"&amp;VersaPro!B41&amp;" #")</f>
        <v/>
      </c>
      <c r="C41" s="1" t="str">
        <f>IF(LEN(VersaPro!C41)=0,"",CHAR(10)&amp;"key *W-*A-*S-*C-m"&amp;MOD(ROW()-8,14)&amp;"-"&amp;VersaPro!C$33&amp;" = *W-*A-*S-*C-"&amp;VersaPro!C41&amp;" #")</f>
        <v xml:space="preserve">
key *W-*A-*S-*C-m5-Minus = *W-*A-*S-*C-F12 #</v>
      </c>
      <c r="D41" s="1" t="str">
        <f>IF(LEN(VersaPro!D41)=0,"",CHAR(10)&amp;"key *W-*A-*S-*C-m"&amp;MOD(ROW()-8,14)&amp;"-"&amp;VersaPro!D$33&amp;" = *W-*A-*S-*C-"&amp;VersaPro!D41&amp;" #")</f>
        <v xml:space="preserve">
key *W-*A-*S-*C-m5-A = *W-*A-*S-*C-_0 #</v>
      </c>
      <c r="E41" s="1" t="str">
        <f>IF(LEN(VersaPro!E41)=0,"",CHAR(10)&amp;"key *W-*A-*S-*C-m"&amp;MOD(ROW()-8,14)&amp;"-"&amp;VersaPro!E$33&amp;" = *W-*A-*S-*C-"&amp;VersaPro!E41&amp;" #")</f>
        <v xml:space="preserve">
key *W-*A-*S-*C-m5-O = *W-*A-*S-*C-_9 #</v>
      </c>
      <c r="F41" s="1" t="str">
        <f>IF(LEN(VersaPro!F41)=0,"",CHAR(10)&amp;"key *W-*A-*S-*C-m"&amp;MOD(ROW()-8,14)&amp;"-"&amp;VersaPro!F$33&amp;" = *W-*A-*S-*C-"&amp;VersaPro!F41&amp;" #")</f>
        <v xml:space="preserve">
key *W-*A-*S-*C-m5-E = *W-*A-*S-*C-_8 #</v>
      </c>
      <c r="G41" s="1" t="str">
        <f>IF(LEN(VersaPro!G41)=0,"",CHAR(10)&amp;"key *W-*A-*S-*C-m"&amp;MOD(ROW()-8,14)&amp;"-"&amp;VersaPro!G$33&amp;" = *W-*A-*S-*C-"&amp;VersaPro!G41&amp;" #")</f>
        <v xml:space="preserve">
key *W-*A-*S-*C-m5-U = *W-*A-*S-*C-_7 #</v>
      </c>
      <c r="H41" s="1" t="str">
        <f>IF(LEN(VersaPro!H41)=0,"",CHAR(10)&amp;"key *W-*A-*S-*C-m"&amp;MOD(ROW()-8,14)&amp;"-"&amp;VersaPro!H$33&amp;" = *W-*A-*S-*C-"&amp;VersaPro!H41&amp;" #")</f>
        <v xml:space="preserve">
key *W-*A-*S-*C-m5-I = *W-*A-*S-*C-_6 #</v>
      </c>
      <c r="I41" s="1" t="str">
        <f>IF(LEN(VersaPro!I41)=0,"",CHAR(10)&amp;"key *W-*A-*S-*C-m"&amp;MOD(ROW()-8,14)&amp;"-"&amp;VersaPro!I$33&amp;" = *W-*A-*S-*C-"&amp;VersaPro!I41&amp;" #")</f>
        <v/>
      </c>
      <c r="J41" s="1" t="str">
        <f>IF(LEN(VersaPro!J41)=0,"",CHAR(10)&amp;"key *W-*A-*S-*C-m"&amp;MOD(ROW()-8,14)&amp;"-"&amp;VersaPro!J$33&amp;" = *W-*A-*S-*C-"&amp;VersaPro!J41&amp;" #")</f>
        <v/>
      </c>
      <c r="K41" s="1" t="str">
        <f>IF(LEN(VersaPro!K41)=0,"",CHAR(10)&amp;"key *W-*A-*S-*C-m"&amp;MOD(ROW()-8,14)&amp;"-"&amp;VersaPro!K$33&amp;" = *W-*A-*S-*C-"&amp;VersaPro!K41&amp;" #")</f>
        <v/>
      </c>
      <c r="L41" s="1" t="str">
        <f>IF(LEN(VersaPro!L41)=0,"",CHAR(10)&amp;"key *W-*A-*S-*C-m"&amp;MOD(ROW()-8,14)&amp;"-"&amp;VersaPro!L$33&amp;" = *W-*A-*S-*C-"&amp;VersaPro!L41&amp;" #")</f>
        <v/>
      </c>
      <c r="M41" s="1" t="str">
        <f>IF(LEN(VersaPro!M41)=0,"",CHAR(10)&amp;"key *W-*A-*S-*C-m"&amp;MOD(ROW()-8,14)&amp;"-"&amp;VersaPro!M$33&amp;" = *W-*A-*S-*C-"&amp;VersaPro!M41&amp;" #")</f>
        <v/>
      </c>
      <c r="N41" s="1" t="str">
        <f>IF(LEN(VersaPro!N41)=0,"",CHAR(10)&amp;"key *W-*A-*S-*C-m"&amp;MOD(ROW()-8,14)&amp;"-"&amp;VersaPro!N$33&amp;" = *W-*A-*S-*C-"&amp;VersaPro!N41&amp;" #")</f>
        <v/>
      </c>
      <c r="O41" s="1" t="str">
        <f>IF(LEN(VersaPro!O41)=0,"",CHAR(10)&amp;"key *W-*A-*S-*C-m"&amp;MOD(ROW()-8,14)&amp;"-"&amp;VersaPro!O$33&amp;" = *W-*A-*S-*C-"&amp;VersaPro!O41&amp;" #")</f>
        <v/>
      </c>
      <c r="P41" s="1" t="str">
        <f>IF(LEN(VersaPro!P41)=0,"",CHAR(10)&amp;"key *W-*A-*S-*C-m"&amp;MOD(ROW()-8,14)&amp;"-"&amp;VersaPro!P$33&amp;" = *W-*A-*S-*C-"&amp;VersaPro!P41&amp;" #")</f>
        <v/>
      </c>
      <c r="Q41" s="1" t="str">
        <f>IF(LEN(VersaPro!Q41)=0,"",CHAR(10)&amp;"key *W-*A-*S-*C-m"&amp;MOD(ROW()-8,14)&amp;"-"&amp;VersaPro!Q$33&amp;" = *W-*A-*S-*C-"&amp;VersaPro!Q41&amp;" #")</f>
        <v/>
      </c>
      <c r="R41" s="1" t="str">
        <f>IF(LEN(VersaPro!R41)=0,"",CHAR(10)&amp;"key *W-*A-*S-*C-m"&amp;MOD(ROW()-8,14)&amp;"-"&amp;VersaPro!R$33&amp;" = *W-*A-*S-*C-"&amp;VersaPro!R41&amp;" #")</f>
        <v/>
      </c>
    </row>
    <row r="42" spans="1:18" x14ac:dyDescent="0.7">
      <c r="A42" s="1" t="str">
        <f t="shared" si="2"/>
        <v># mod6</v>
      </c>
      <c r="B42" s="1" t="str">
        <f>IF(LEN(VersaPro!B42)=0,"",CHAR(10)&amp;"key *W-*A-*S-*C-m"&amp;MOD(ROW()-8,14)&amp;"-"&amp;VersaPro!B$33&amp;" = *W-*A-*S-*C-"&amp;VersaPro!B42&amp;" #")</f>
        <v/>
      </c>
      <c r="C42" s="1" t="str">
        <f>IF(LEN(VersaPro!C42)=0,"",CHAR(10)&amp;"key *W-*A-*S-*C-m"&amp;MOD(ROW()-8,14)&amp;"-"&amp;VersaPro!C$33&amp;" = *W-*A-*S-*C-"&amp;VersaPro!C42&amp;" #")</f>
        <v/>
      </c>
      <c r="D42" s="1" t="str">
        <f>IF(LEN(VersaPro!D42)=0,"",CHAR(10)&amp;"key *W-*A-*S-*C-m"&amp;MOD(ROW()-8,14)&amp;"-"&amp;VersaPro!D$33&amp;" = *W-*A-*S-*C-"&amp;VersaPro!D42&amp;" #")</f>
        <v xml:space="preserve">
key *W-*A-*S-*C-m6-A = *W-*A-*S-*C-C-← #</v>
      </c>
      <c r="E42" s="1" t="str">
        <f>IF(LEN(VersaPro!E42)=0,"",CHAR(10)&amp;"key *W-*A-*S-*C-m"&amp;MOD(ROW()-8,14)&amp;"-"&amp;VersaPro!E$33&amp;" = *W-*A-*S-*C-"&amp;VersaPro!E42&amp;" #")</f>
        <v xml:space="preserve">
key *W-*A-*S-*C-m6-O = *W-*A-*S-*C-C-→ #</v>
      </c>
      <c r="F42" s="1" t="str">
        <f>IF(LEN(VersaPro!F42)=0,"",CHAR(10)&amp;"key *W-*A-*S-*C-m"&amp;MOD(ROW()-8,14)&amp;"-"&amp;VersaPro!F$33&amp;" = *W-*A-*S-*C-"&amp;VersaPro!F42&amp;" #")</f>
        <v xml:space="preserve">
key *W-*A-*S-*C-m6-E = *W-*A-*S-*C-C-↓ #</v>
      </c>
      <c r="G42" s="1" t="str">
        <f>IF(LEN(VersaPro!G42)=0,"",CHAR(10)&amp;"key *W-*A-*S-*C-m"&amp;MOD(ROW()-8,14)&amp;"-"&amp;VersaPro!G$33&amp;" = *W-*A-*S-*C-"&amp;VersaPro!G42&amp;" #")</f>
        <v xml:space="preserve">
key *W-*A-*S-*C-m6-U = *W-*A-*S-*C-C-↑ #</v>
      </c>
      <c r="H42" s="1" t="str">
        <f>IF(LEN(VersaPro!H42)=0,"",CHAR(10)&amp;"key *W-*A-*S-*C-m"&amp;MOD(ROW()-8,14)&amp;"-"&amp;VersaPro!H$33&amp;" = *W-*A-*S-*C-"&amp;VersaPro!H42&amp;" #")</f>
        <v xml:space="preserve">
key *W-*A-*S-*C-m6-I = *W-*A-*S-*C-C-W #</v>
      </c>
      <c r="I42" s="1" t="str">
        <f>IF(LEN(VersaPro!I42)=0,"",CHAR(10)&amp;"key *W-*A-*S-*C-m"&amp;MOD(ROW()-8,14)&amp;"-"&amp;VersaPro!I$33&amp;" = *W-*A-*S-*C-"&amp;VersaPro!I42&amp;" #")</f>
        <v/>
      </c>
      <c r="J42" s="1" t="str">
        <f>IF(LEN(VersaPro!J42)=0,"",CHAR(10)&amp;"key *W-*A-*S-*C-m"&amp;MOD(ROW()-8,14)&amp;"-"&amp;VersaPro!J$33&amp;" = *W-*A-*S-*C-"&amp;VersaPro!J42&amp;" #")</f>
        <v/>
      </c>
      <c r="K42" s="1" t="str">
        <f>IF(LEN(VersaPro!K42)=0,"",CHAR(10)&amp;"key *W-*A-*S-*C-m"&amp;MOD(ROW()-8,14)&amp;"-"&amp;VersaPro!K$33&amp;" = *W-*A-*S-*C-"&amp;VersaPro!K42&amp;" #")</f>
        <v/>
      </c>
      <c r="L42" s="1" t="str">
        <f>IF(LEN(VersaPro!L42)=0,"",CHAR(10)&amp;"key *W-*A-*S-*C-m"&amp;MOD(ROW()-8,14)&amp;"-"&amp;VersaPro!L$33&amp;" = *W-*A-*S-*C-"&amp;VersaPro!L42&amp;" #")</f>
        <v/>
      </c>
      <c r="M42" s="1" t="str">
        <f>IF(LEN(VersaPro!M42)=0,"",CHAR(10)&amp;"key *W-*A-*S-*C-m"&amp;MOD(ROW()-8,14)&amp;"-"&amp;VersaPro!M$33&amp;" = *W-*A-*S-*C-"&amp;VersaPro!M42&amp;" #")</f>
        <v/>
      </c>
      <c r="N42" s="1" t="str">
        <f>IF(LEN(VersaPro!N42)=0,"",CHAR(10)&amp;"key *W-*A-*S-*C-m"&amp;MOD(ROW()-8,14)&amp;"-"&amp;VersaPro!N$33&amp;" = *W-*A-*S-*C-"&amp;VersaPro!N42&amp;" #")</f>
        <v/>
      </c>
      <c r="O42" s="1" t="str">
        <f>IF(LEN(VersaPro!O42)=0,"",CHAR(10)&amp;"key *W-*A-*S-*C-m"&amp;MOD(ROW()-8,14)&amp;"-"&amp;VersaPro!O$33&amp;" = *W-*A-*S-*C-"&amp;VersaPro!O42&amp;" #")</f>
        <v/>
      </c>
      <c r="P42" s="1" t="str">
        <f>IF(LEN(VersaPro!P42)=0,"",CHAR(10)&amp;"key *W-*A-*S-*C-m"&amp;MOD(ROW()-8,14)&amp;"-"&amp;VersaPro!P$33&amp;" = *W-*A-*S-*C-"&amp;VersaPro!P42&amp;" #")</f>
        <v/>
      </c>
      <c r="Q42" s="1" t="str">
        <f>IF(LEN(VersaPro!Q42)=0,"",CHAR(10)&amp;"key *W-*A-*S-*C-m"&amp;MOD(ROW()-8,14)&amp;"-"&amp;VersaPro!Q$33&amp;" = *W-*A-*S-*C-"&amp;VersaPro!Q42&amp;" #")</f>
        <v/>
      </c>
      <c r="R42" s="1" t="str">
        <f>IF(LEN(VersaPro!R42)=0,"",CHAR(10)&amp;"key *W-*A-*S-*C-m"&amp;MOD(ROW()-8,14)&amp;"-"&amp;VersaPro!R$33&amp;" = *W-*A-*S-*C-"&amp;VersaPro!R42&amp;" #")</f>
        <v/>
      </c>
    </row>
    <row r="43" spans="1:18" x14ac:dyDescent="0.7">
      <c r="A43" s="1" t="str">
        <f t="shared" si="2"/>
        <v># mod7</v>
      </c>
      <c r="B43" s="1" t="str">
        <f>IF(LEN(VersaPro!B43)=0,"",CHAR(10)&amp;"key *W-*A-*S-*C-m"&amp;MOD(ROW()-8,14)&amp;"-"&amp;VersaPro!B$33&amp;" = *W-*A-*S-*C-"&amp;VersaPro!B43&amp;" #")</f>
        <v/>
      </c>
      <c r="C43" s="1" t="str">
        <f>IF(LEN(VersaPro!C43)=0,"",CHAR(10)&amp;"key *W-*A-*S-*C-m"&amp;MOD(ROW()-8,14)&amp;"-"&amp;VersaPro!C$33&amp;" = *W-*A-*S-*C-"&amp;VersaPro!C43&amp;" #")</f>
        <v/>
      </c>
      <c r="D43" s="1" t="str">
        <f>IF(LEN(VersaPro!D43)=0,"",CHAR(10)&amp;"key *W-*A-*S-*C-m"&amp;MOD(ROW()-8,14)&amp;"-"&amp;VersaPro!D$33&amp;" = *W-*A-*S-*C-"&amp;VersaPro!D43&amp;" #")</f>
        <v xml:space="preserve">
key *W-*A-*S-*C-m7-A = *W-*A-*S-*C-＠ #</v>
      </c>
      <c r="E43" s="1" t="str">
        <f>IF(LEN(VersaPro!E43)=0,"",CHAR(10)&amp;"key *W-*A-*S-*C-m"&amp;MOD(ROW()-8,14)&amp;"-"&amp;VersaPro!E$33&amp;" = *W-*A-*S-*C-"&amp;VersaPro!E43&amp;" #")</f>
        <v xml:space="preserve">
key *W-*A-*S-*C-m7-O = *W-*A-*S-*C-＠ #</v>
      </c>
      <c r="F43" s="1" t="str">
        <f>IF(LEN(VersaPro!F43)=0,"",CHAR(10)&amp;"key *W-*A-*S-*C-m"&amp;MOD(ROW()-8,14)&amp;"-"&amp;VersaPro!F$33&amp;" = *W-*A-*S-*C-"&amp;VersaPro!F43&amp;" #")</f>
        <v xml:space="preserve">
key *W-*A-*S-*C-m7-E = *W-*A-*S-*C-＠ #</v>
      </c>
      <c r="G43" s="1" t="str">
        <f>IF(LEN(VersaPro!G43)=0,"",CHAR(10)&amp;"key *W-*A-*S-*C-m"&amp;MOD(ROW()-8,14)&amp;"-"&amp;VersaPro!G$33&amp;" = *W-*A-*S-*C-"&amp;VersaPro!G43&amp;" #")</f>
        <v xml:space="preserve">
key *W-*A-*S-*C-m7-U = *W-*A-*S-*C-＠ #</v>
      </c>
      <c r="H43" s="1" t="str">
        <f>IF(LEN(VersaPro!H43)=0,"",CHAR(10)&amp;"key *W-*A-*S-*C-m"&amp;MOD(ROW()-8,14)&amp;"-"&amp;VersaPro!H$33&amp;" = *W-*A-*S-*C-"&amp;VersaPro!H43&amp;" #")</f>
        <v xml:space="preserve">
key *W-*A-*S-*C-m7-I = *W-*A-*S-*C-＠ #</v>
      </c>
      <c r="I43" s="1" t="str">
        <f>IF(LEN(VersaPro!I43)=0,"",CHAR(10)&amp;"key *W-*A-*S-*C-m"&amp;MOD(ROW()-8,14)&amp;"-"&amp;VersaPro!I$33&amp;" = *W-*A-*S-*C-"&amp;VersaPro!I43&amp;" #")</f>
        <v/>
      </c>
      <c r="J43" s="1" t="str">
        <f>IF(LEN(VersaPro!J43)=0,"",CHAR(10)&amp;"key *W-*A-*S-*C-m"&amp;MOD(ROW()-8,14)&amp;"-"&amp;VersaPro!J$33&amp;" = *W-*A-*S-*C-"&amp;VersaPro!J43&amp;" #")</f>
        <v/>
      </c>
      <c r="K43" s="1" t="str">
        <f>IF(LEN(VersaPro!K43)=0,"",CHAR(10)&amp;"key *W-*A-*S-*C-m"&amp;MOD(ROW()-8,14)&amp;"-"&amp;VersaPro!K$33&amp;" = *W-*A-*S-*C-"&amp;VersaPro!K43&amp;" #")</f>
        <v/>
      </c>
      <c r="L43" s="1" t="str">
        <f>IF(LEN(VersaPro!L43)=0,"",CHAR(10)&amp;"key *W-*A-*S-*C-m"&amp;MOD(ROW()-8,14)&amp;"-"&amp;VersaPro!L$33&amp;" = *W-*A-*S-*C-"&amp;VersaPro!L43&amp;" #")</f>
        <v/>
      </c>
      <c r="M43" s="1" t="str">
        <f>IF(LEN(VersaPro!M43)=0,"",CHAR(10)&amp;"key *W-*A-*S-*C-m"&amp;MOD(ROW()-8,14)&amp;"-"&amp;VersaPro!M$33&amp;" = *W-*A-*S-*C-"&amp;VersaPro!M43&amp;" #")</f>
        <v/>
      </c>
      <c r="N43" s="1" t="str">
        <f>IF(LEN(VersaPro!N43)=0,"",CHAR(10)&amp;"key *W-*A-*S-*C-m"&amp;MOD(ROW()-8,14)&amp;"-"&amp;VersaPro!N$33&amp;" = *W-*A-*S-*C-"&amp;VersaPro!N43&amp;" #")</f>
        <v/>
      </c>
      <c r="O43" s="1" t="str">
        <f>IF(LEN(VersaPro!O43)=0,"",CHAR(10)&amp;"key *W-*A-*S-*C-m"&amp;MOD(ROW()-8,14)&amp;"-"&amp;VersaPro!O$33&amp;" = *W-*A-*S-*C-"&amp;VersaPro!O43&amp;" #")</f>
        <v/>
      </c>
      <c r="P43" s="1" t="str">
        <f>IF(LEN(VersaPro!P43)=0,"",CHAR(10)&amp;"key *W-*A-*S-*C-m"&amp;MOD(ROW()-8,14)&amp;"-"&amp;VersaPro!P$33&amp;" = *W-*A-*S-*C-"&amp;VersaPro!P43&amp;" #")</f>
        <v/>
      </c>
      <c r="Q43" s="1" t="str">
        <f>IF(LEN(VersaPro!Q43)=0,"",CHAR(10)&amp;"key *W-*A-*S-*C-m"&amp;MOD(ROW()-8,14)&amp;"-"&amp;VersaPro!Q$33&amp;" = *W-*A-*S-*C-"&amp;VersaPro!Q43&amp;" #")</f>
        <v/>
      </c>
      <c r="R43" s="1" t="str">
        <f>IF(LEN(VersaPro!R43)=0,"",CHAR(10)&amp;"key *W-*A-*S-*C-m"&amp;MOD(ROW()-8,14)&amp;"-"&amp;VersaPro!R$33&amp;" = *W-*A-*S-*C-"&amp;VersaPro!R43&amp;" #")</f>
        <v/>
      </c>
    </row>
    <row r="44" spans="1:18" x14ac:dyDescent="0.7">
      <c r="A44" s="1" t="str">
        <f t="shared" si="2"/>
        <v># mod8</v>
      </c>
      <c r="B44" s="1" t="str">
        <f>IF(LEN(VersaPro!B44)=0,"",CHAR(10)&amp;"key *W-*A-*S-*C-m"&amp;MOD(ROW()-8,14)&amp;"-"&amp;VersaPro!B$33&amp;" = *W-*A-*S-*C-"&amp;VersaPro!B44&amp;" #")</f>
        <v/>
      </c>
      <c r="C44" s="1" t="str">
        <f>IF(LEN(VersaPro!C44)=0,"",CHAR(10)&amp;"key *W-*A-*S-*C-m"&amp;MOD(ROW()-8,14)&amp;"-"&amp;VersaPro!C$33&amp;" = *W-*A-*S-*C-"&amp;VersaPro!C44&amp;" #")</f>
        <v/>
      </c>
      <c r="D44" s="1" t="str">
        <f>IF(LEN(VersaPro!D44)=0,"",CHAR(10)&amp;"key *W-*A-*S-*C-m"&amp;MOD(ROW()-8,14)&amp;"-"&amp;VersaPro!D$33&amp;" = *W-*A-*S-*C-"&amp;VersaPro!D44&amp;" #")</f>
        <v xml:space="preserve">
key *W-*A-*S-*C-m8-A = *W-*A-*S-*C-家 #</v>
      </c>
      <c r="E44" s="1" t="str">
        <f>IF(LEN(VersaPro!E44)=0,"",CHAR(10)&amp;"key *W-*A-*S-*C-m"&amp;MOD(ROW()-8,14)&amp;"-"&amp;VersaPro!E$33&amp;" = *W-*A-*S-*C-"&amp;VersaPro!E44&amp;" #")</f>
        <v xml:space="preserve">
key *W-*A-*S-*C-m8-O = *W-*A-*S-*C-終 #</v>
      </c>
      <c r="F44" s="1" t="str">
        <f>IF(LEN(VersaPro!F44)=0,"",CHAR(10)&amp;"key *W-*A-*S-*C-m"&amp;MOD(ROW()-8,14)&amp;"-"&amp;VersaPro!F$33&amp;" = *W-*A-*S-*C-"&amp;VersaPro!F44&amp;" #")</f>
        <v xml:space="preserve">
key *W-*A-*S-*C-m8-E = *W-*A-*S-*C-S-家 #</v>
      </c>
      <c r="G44" s="1" t="str">
        <f>IF(LEN(VersaPro!G44)=0,"",CHAR(10)&amp;"key *W-*A-*S-*C-m"&amp;MOD(ROW()-8,14)&amp;"-"&amp;VersaPro!G$33&amp;" = *W-*A-*S-*C-"&amp;VersaPro!G44&amp;" #")</f>
        <v xml:space="preserve">
key *W-*A-*S-*C-m8-U = *W-*A-*S-*C-S-終 #</v>
      </c>
      <c r="H44" s="1" t="str">
        <f>IF(LEN(VersaPro!H44)=0,"",CHAR(10)&amp;"key *W-*A-*S-*C-m"&amp;MOD(ROW()-8,14)&amp;"-"&amp;VersaPro!H$33&amp;" = *W-*A-*S-*C-"&amp;VersaPro!H44&amp;" #")</f>
        <v/>
      </c>
      <c r="I44" s="1" t="str">
        <f>IF(LEN(VersaPro!I44)=0,"",CHAR(10)&amp;"key *W-*A-*S-*C-m"&amp;MOD(ROW()-8,14)&amp;"-"&amp;VersaPro!I$33&amp;" = *W-*A-*S-*C-"&amp;VersaPro!I44&amp;" #")</f>
        <v/>
      </c>
      <c r="J44" s="1" t="str">
        <f>IF(LEN(VersaPro!J44)=0,"",CHAR(10)&amp;"key *W-*A-*S-*C-m"&amp;MOD(ROW()-8,14)&amp;"-"&amp;VersaPro!J$33&amp;" = *W-*A-*S-*C-"&amp;VersaPro!J44&amp;" #")</f>
        <v/>
      </c>
      <c r="K44" s="1" t="str">
        <f>IF(LEN(VersaPro!K44)=0,"",CHAR(10)&amp;"key *W-*A-*S-*C-m"&amp;MOD(ROW()-8,14)&amp;"-"&amp;VersaPro!K$33&amp;" = *W-*A-*S-*C-"&amp;VersaPro!K44&amp;" #")</f>
        <v/>
      </c>
      <c r="L44" s="1" t="str">
        <f>IF(LEN(VersaPro!L44)=0,"",CHAR(10)&amp;"key *W-*A-*S-*C-m"&amp;MOD(ROW()-8,14)&amp;"-"&amp;VersaPro!L$33&amp;" = *W-*A-*S-*C-"&amp;VersaPro!L44&amp;" #")</f>
        <v/>
      </c>
      <c r="M44" s="1" t="str">
        <f>IF(LEN(VersaPro!M44)=0,"",CHAR(10)&amp;"key *W-*A-*S-*C-m"&amp;MOD(ROW()-8,14)&amp;"-"&amp;VersaPro!M$33&amp;" = *W-*A-*S-*C-"&amp;VersaPro!M44&amp;" #")</f>
        <v/>
      </c>
      <c r="N44" s="1" t="str">
        <f>IF(LEN(VersaPro!N44)=0,"",CHAR(10)&amp;"key *W-*A-*S-*C-m"&amp;MOD(ROW()-8,14)&amp;"-"&amp;VersaPro!N$33&amp;" = *W-*A-*S-*C-"&amp;VersaPro!N44&amp;" #")</f>
        <v/>
      </c>
      <c r="O44" s="1" t="str">
        <f>IF(LEN(VersaPro!O44)=0,"",CHAR(10)&amp;"key *W-*A-*S-*C-m"&amp;MOD(ROW()-8,14)&amp;"-"&amp;VersaPro!O$33&amp;" = *W-*A-*S-*C-"&amp;VersaPro!O44&amp;" #")</f>
        <v/>
      </c>
      <c r="P44" s="1" t="str">
        <f>IF(LEN(VersaPro!P44)=0,"",CHAR(10)&amp;"key *W-*A-*S-*C-m"&amp;MOD(ROW()-8,14)&amp;"-"&amp;VersaPro!P$33&amp;" = *W-*A-*S-*C-"&amp;VersaPro!P44&amp;" #")</f>
        <v/>
      </c>
      <c r="Q44" s="1" t="str">
        <f>IF(LEN(VersaPro!Q44)=0,"",CHAR(10)&amp;"key *W-*A-*S-*C-m"&amp;MOD(ROW()-8,14)&amp;"-"&amp;VersaPro!Q$33&amp;" = *W-*A-*S-*C-"&amp;VersaPro!Q44&amp;" #")</f>
        <v/>
      </c>
      <c r="R44" s="1" t="str">
        <f>IF(LEN(VersaPro!R44)=0,"",CHAR(10)&amp;"key *W-*A-*S-*C-m"&amp;MOD(ROW()-8,14)&amp;"-"&amp;VersaPro!R$33&amp;" = *W-*A-*S-*C-"&amp;VersaPro!R44&amp;" #")</f>
        <v/>
      </c>
    </row>
    <row r="45" spans="1:18" x14ac:dyDescent="0.7">
      <c r="A45" s="1" t="str">
        <f t="shared" si="2"/>
        <v># mod9</v>
      </c>
      <c r="B45" s="1" t="str">
        <f>IF(LEN(VersaPro!B45)=0,"",CHAR(10)&amp;"key *W-*A-*S-*C-m"&amp;MOD(ROW()-8,14)&amp;"-"&amp;VersaPro!B$33&amp;" = *W-*A-*S-*C-"&amp;VersaPro!B45&amp;" #")</f>
        <v/>
      </c>
      <c r="C45" s="1" t="str">
        <f>IF(LEN(VersaPro!C45)=0,"",CHAR(10)&amp;"key *W-*A-*S-*C-m"&amp;MOD(ROW()-8,14)&amp;"-"&amp;VersaPro!C$33&amp;" = *W-*A-*S-*C-"&amp;VersaPro!C45&amp;" #")</f>
        <v/>
      </c>
      <c r="D45" s="1" t="str">
        <f>IF(LEN(VersaPro!D45)=0,"",CHAR(10)&amp;"key *W-*A-*S-*C-m"&amp;MOD(ROW()-8,14)&amp;"-"&amp;VersaPro!D$33&amp;" = *W-*A-*S-*C-"&amp;VersaPro!D45&amp;" #")</f>
        <v xml:space="preserve">
key *W-*A-*S-*C-m9-A = *W-*A-*S-*C-A-S-← #</v>
      </c>
      <c r="E45" s="1" t="str">
        <f>IF(LEN(VersaPro!E45)=0,"",CHAR(10)&amp;"key *W-*A-*S-*C-m"&amp;MOD(ROW()-8,14)&amp;"-"&amp;VersaPro!E$33&amp;" = *W-*A-*S-*C-"&amp;VersaPro!E45&amp;" #")</f>
        <v xml:space="preserve">
key *W-*A-*S-*C-m9-O = *W-*A-*S-*C-A-S-→ #</v>
      </c>
      <c r="F45" s="1" t="str">
        <f>IF(LEN(VersaPro!F45)=0,"",CHAR(10)&amp;"key *W-*A-*S-*C-m"&amp;MOD(ROW()-8,14)&amp;"-"&amp;VersaPro!F$33&amp;" = *W-*A-*S-*C-"&amp;VersaPro!F45&amp;" #")</f>
        <v xml:space="preserve">
key *W-*A-*S-*C-m9-E = *W-*A-*S-*C-A-S-↓ #</v>
      </c>
      <c r="G45" s="1" t="str">
        <f>IF(LEN(VersaPro!G45)=0,"",CHAR(10)&amp;"key *W-*A-*S-*C-m"&amp;MOD(ROW()-8,14)&amp;"-"&amp;VersaPro!G$33&amp;" = *W-*A-*S-*C-"&amp;VersaPro!G45&amp;" #")</f>
        <v xml:space="preserve">
key *W-*A-*S-*C-m9-U = *W-*A-*S-*C-A-S-↑ #</v>
      </c>
      <c r="H45" s="1" t="str">
        <f>IF(LEN(VersaPro!H45)=0,"",CHAR(10)&amp;"key *W-*A-*S-*C-m"&amp;MOD(ROW()-8,14)&amp;"-"&amp;VersaPro!H$33&amp;" = *W-*A-*S-*C-"&amp;VersaPro!H45&amp;" #")</f>
        <v xml:space="preserve">
key *W-*A-*S-*C-m9-I = *W-*A-*S-*C-＠ #</v>
      </c>
      <c r="I45" s="1" t="str">
        <f>IF(LEN(VersaPro!I45)=0,"",CHAR(10)&amp;"key *W-*A-*S-*C-m"&amp;MOD(ROW()-8,14)&amp;"-"&amp;VersaPro!I$33&amp;" = *W-*A-*S-*C-"&amp;VersaPro!I45&amp;" #")</f>
        <v/>
      </c>
      <c r="J45" s="1" t="str">
        <f>IF(LEN(VersaPro!J45)=0,"",CHAR(10)&amp;"key *W-*A-*S-*C-m"&amp;MOD(ROW()-8,14)&amp;"-"&amp;VersaPro!J$33&amp;" = *W-*A-*S-*C-"&amp;VersaPro!J45&amp;" #")</f>
        <v/>
      </c>
      <c r="K45" s="1" t="str">
        <f>IF(LEN(VersaPro!K45)=0,"",CHAR(10)&amp;"key *W-*A-*S-*C-m"&amp;MOD(ROW()-8,14)&amp;"-"&amp;VersaPro!K$33&amp;" = *W-*A-*S-*C-"&amp;VersaPro!K45&amp;" #")</f>
        <v/>
      </c>
      <c r="L45" s="1" t="str">
        <f>IF(LEN(VersaPro!L45)=0,"",CHAR(10)&amp;"key *W-*A-*S-*C-m"&amp;MOD(ROW()-8,14)&amp;"-"&amp;VersaPro!L$33&amp;" = *W-*A-*S-*C-"&amp;VersaPro!L45&amp;" #")</f>
        <v/>
      </c>
      <c r="M45" s="1" t="str">
        <f>IF(LEN(VersaPro!M45)=0,"",CHAR(10)&amp;"key *W-*A-*S-*C-m"&amp;MOD(ROW()-8,14)&amp;"-"&amp;VersaPro!M$33&amp;" = *W-*A-*S-*C-"&amp;VersaPro!M45&amp;" #")</f>
        <v/>
      </c>
      <c r="N45" s="1" t="str">
        <f>IF(LEN(VersaPro!N45)=0,"",CHAR(10)&amp;"key *W-*A-*S-*C-m"&amp;MOD(ROW()-8,14)&amp;"-"&amp;VersaPro!N$33&amp;" = *W-*A-*S-*C-"&amp;VersaPro!N45&amp;" #")</f>
        <v/>
      </c>
      <c r="O45" s="1" t="str">
        <f>IF(LEN(VersaPro!O45)=0,"",CHAR(10)&amp;"key *W-*A-*S-*C-m"&amp;MOD(ROW()-8,14)&amp;"-"&amp;VersaPro!O$33&amp;" = *W-*A-*S-*C-"&amp;VersaPro!O45&amp;" #")</f>
        <v/>
      </c>
      <c r="P45" s="1" t="str">
        <f>IF(LEN(VersaPro!P45)=0,"",CHAR(10)&amp;"key *W-*A-*S-*C-m"&amp;MOD(ROW()-8,14)&amp;"-"&amp;VersaPro!P$33&amp;" = *W-*A-*S-*C-"&amp;VersaPro!P45&amp;" #")</f>
        <v/>
      </c>
      <c r="Q45" s="1" t="str">
        <f>IF(LEN(VersaPro!Q45)=0,"",CHAR(10)&amp;"key *W-*A-*S-*C-m"&amp;MOD(ROW()-8,14)&amp;"-"&amp;VersaPro!Q$33&amp;" = *W-*A-*S-*C-"&amp;VersaPro!Q45&amp;" #")</f>
        <v/>
      </c>
      <c r="R45" s="1" t="str">
        <f>IF(LEN(VersaPro!R45)=0,"",CHAR(10)&amp;"key *W-*A-*S-*C-m"&amp;MOD(ROW()-8,14)&amp;"-"&amp;VersaPro!R$33&amp;" = *W-*A-*S-*C-"&amp;VersaPro!R45&amp;" #")</f>
        <v/>
      </c>
    </row>
    <row r="46" spans="1:18" x14ac:dyDescent="0.7">
      <c r="A46" s="1" t="s">
        <v>153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7">
      <c r="A47" s="1" t="s">
        <v>230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7">
      <c r="A48" s="1" t="s">
        <v>153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7">
      <c r="A49" s="1" t="s">
        <v>153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7">
      <c r="A50" s="1" t="str">
        <f t="shared" ref="A50:A59" si="3" xml:space="preserve"> "# mod"&amp;MOD(ROW()-8,14)</f>
        <v># mod0</v>
      </c>
      <c r="B50" s="1" t="str">
        <f>IF(LEN(VersaPro!B50)=0,"",CHAR(10)&amp;"key *W-*A-*S-*C-m"&amp;MOD(ROW()-8,14)&amp;"-"&amp;VersaPro!B$47&amp;" = *W-*A-*S-*C-"&amp;VersaPro!B50&amp;" #")</f>
        <v/>
      </c>
      <c r="C50" s="1" t="str">
        <f>IF(LEN(VersaPro!C50)=0,"",CHAR(10)&amp;"key *W-*A-*S-*C-m"&amp;MOD(ROW()-8,14)&amp;"-"&amp;VersaPro!C$47&amp;" = *W-*A-*S-*C-"&amp;VersaPro!C50&amp;" #")</f>
        <v/>
      </c>
      <c r="D50" s="1" t="str">
        <f>IF(LEN(VersaPro!D50)=0,"",CHAR(10)&amp;"key *W-*A-*S-*C-m"&amp;MOD(ROW()-8,14)&amp;"-"&amp;VersaPro!D$47&amp;" = *W-*A-*S-*C-"&amp;VersaPro!D50&amp;" #")</f>
        <v xml:space="preserve">
key *W-*A-*S-*C-m0-Semicolon = *W-*A-*S-*C-F1 #</v>
      </c>
      <c r="E50" s="1" t="str">
        <f>IF(LEN(VersaPro!E50)=0,"",CHAR(10)&amp;"key *W-*A-*S-*C-m"&amp;MOD(ROW()-8,14)&amp;"-"&amp;VersaPro!E$47&amp;" = *W-*A-*S-*C-"&amp;VersaPro!E50&amp;" #")</f>
        <v xml:space="preserve">
key *W-*A-*S-*C-m0-Q = *W-*A-*S-*C-F2 #</v>
      </c>
      <c r="F50" s="1" t="str">
        <f>IF(LEN(VersaPro!F50)=0,"",CHAR(10)&amp;"key *W-*A-*S-*C-m"&amp;MOD(ROW()-8,14)&amp;"-"&amp;VersaPro!F$47&amp;" = *W-*A-*S-*C-"&amp;VersaPro!F50&amp;" #")</f>
        <v xml:space="preserve">
key *W-*A-*S-*C-m0-J = *W-*A-*S-*C-F3 #</v>
      </c>
      <c r="G50" s="1" t="str">
        <f>IF(LEN(VersaPro!G50)=0,"",CHAR(10)&amp;"key *W-*A-*S-*C-m"&amp;MOD(ROW()-8,14)&amp;"-"&amp;VersaPro!G$47&amp;" = *W-*A-*S-*C-"&amp;VersaPro!G50&amp;" #")</f>
        <v xml:space="preserve">
key *W-*A-*S-*C-m0-K = *W-*A-*S-*C-F4 #</v>
      </c>
      <c r="H50" s="1" t="str">
        <f>IF(LEN(VersaPro!H50)=0,"",CHAR(10)&amp;"key *W-*A-*S-*C-m"&amp;MOD(ROW()-8,14)&amp;"-"&amp;VersaPro!H$47&amp;" = *W-*A-*S-*C-"&amp;VersaPro!H50&amp;" #")</f>
        <v xml:space="preserve">
key *W-*A-*S-*C-m0-X = *W-*A-*S-*C-F5 #</v>
      </c>
      <c r="I50" s="1" t="str">
        <f>IF(LEN(VersaPro!I50)=0,"",CHAR(10)&amp;"key *W-*A-*S-*C-m"&amp;MOD(ROW()-8,14)&amp;"-"&amp;VersaPro!I$47&amp;" = *W-*A-*S-*C-"&amp;VersaPro!I50&amp;" #")</f>
        <v xml:space="preserve">
key *W-*A-*S-*C-m0-B = *W-*A-*S-*C-F6 #</v>
      </c>
      <c r="J50" s="1" t="str">
        <f>IF(LEN(VersaPro!J50)=0,"",CHAR(10)&amp;"key *W-*A-*S-*C-m"&amp;MOD(ROW()-8,14)&amp;"-"&amp;VersaPro!J$47&amp;" = *W-*A-*S-*C-"&amp;VersaPro!J50&amp;" #")</f>
        <v xml:space="preserve">
key *W-*A-*S-*C-m0-M = *W-*A-*S-*C-F7 #</v>
      </c>
      <c r="K50" s="1" t="str">
        <f>IF(LEN(VersaPro!K50)=0,"",CHAR(10)&amp;"key *W-*A-*S-*C-m"&amp;MOD(ROW()-8,14)&amp;"-"&amp;VersaPro!K$47&amp;" = *W-*A-*S-*C-"&amp;VersaPro!K50&amp;" #")</f>
        <v xml:space="preserve">
key *W-*A-*S-*C-m0-W = *W-*A-*S-*C-F8 #</v>
      </c>
      <c r="L50" s="1" t="str">
        <f>IF(LEN(VersaPro!L50)=0,"",CHAR(10)&amp;"key *W-*A-*S-*C-m"&amp;MOD(ROW()-8,14)&amp;"-"&amp;VersaPro!L$47&amp;" = *W-*A-*S-*C-"&amp;VersaPro!L50&amp;" #")</f>
        <v xml:space="preserve">
key *W-*A-*S-*C-m0-V = *W-*A-*S-*C-F9 #</v>
      </c>
      <c r="M50" s="1" t="str">
        <f>IF(LEN(VersaPro!M50)=0,"",CHAR(10)&amp;"key *W-*A-*S-*C-m"&amp;MOD(ROW()-8,14)&amp;"-"&amp;VersaPro!M$47&amp;" = *W-*A-*S-*C-"&amp;VersaPro!M50&amp;" #")</f>
        <v xml:space="preserve">
key *W-*A-*S-*C-m0-Z = *W-*A-*S-*C-F10 #</v>
      </c>
      <c r="N50" s="1" t="str">
        <f>IF(LEN(VersaPro!N50)=0,"",CHAR(10)&amp;"key *W-*A-*S-*C-m"&amp;MOD(ROW()-8,14)&amp;"-"&amp;VersaPro!N$47&amp;" = *W-*A-*S-*C-"&amp;VersaPro!N50&amp;" #")</f>
        <v xml:space="preserve">
key *W-*A-*S-*C-m0-YenSign = *W-*A-*S-*C-F11 #</v>
      </c>
      <c r="O50" s="1" t="str">
        <f>IF(LEN(VersaPro!O50)=0,"",CHAR(10)&amp;"key *W-*A-*S-*C-m"&amp;MOD(ROW()-8,14)&amp;"-"&amp;VersaPro!O$47&amp;" = *W-*A-*S-*C-"&amp;VersaPro!O50&amp;" #")</f>
        <v/>
      </c>
      <c r="P50" s="1" t="str">
        <f>IF(LEN(VersaPro!P50)=0,"",CHAR(10)&amp;"key *W-*A-*S-*C-m"&amp;MOD(ROW()-8,14)&amp;"-"&amp;VersaPro!P$47&amp;" = *W-*A-*S-*C-"&amp;VersaPro!P50&amp;" #")</f>
        <v/>
      </c>
      <c r="Q50" s="1" t="str">
        <f>IF(LEN(VersaPro!Q50)=0,"",CHAR(10)&amp;"key *W-*A-*S-*C-m"&amp;MOD(ROW()-8,14)&amp;"-"&amp;VersaPro!Q$47&amp;" = *W-*A-*S-*C-"&amp;VersaPro!Q50&amp;" #")</f>
        <v/>
      </c>
      <c r="R50" s="1" t="str">
        <f>IF(LEN(VersaPro!R50)=0,"",CHAR(10)&amp;"key *W-*A-*S-*C-m"&amp;MOD(ROW()-8,14)&amp;"-"&amp;VersaPro!R$47&amp;" = *W-*A-*S-*C-"&amp;VersaPro!R50&amp;" #")</f>
        <v/>
      </c>
    </row>
    <row r="51" spans="1:18" x14ac:dyDescent="0.7">
      <c r="A51" s="1" t="str">
        <f t="shared" si="3"/>
        <v># mod1</v>
      </c>
      <c r="B51" s="1" t="str">
        <f>IF(LEN(VersaPro!B51)=0,"",CHAR(10)&amp;"key *W-*A-*S-*C-m"&amp;MOD(ROW()-8,14)&amp;"-"&amp;VersaPro!B$47&amp;" = *W-*A-*S-*C-"&amp;VersaPro!B51&amp;" #")</f>
        <v/>
      </c>
      <c r="C51" s="1" t="str">
        <f>IF(LEN(VersaPro!C51)=0,"",CHAR(10)&amp;"key *W-*A-*S-*C-m"&amp;MOD(ROW()-8,14)&amp;"-"&amp;VersaPro!C$47&amp;" = *W-*A-*S-*C-"&amp;VersaPro!C51&amp;" #")</f>
        <v/>
      </c>
      <c r="D51" s="1" t="str">
        <f>IF(LEN(VersaPro!D51)=0,"",CHAR(10)&amp;"key *W-*A-*S-*C-m"&amp;MOD(ROW()-8,14)&amp;"-"&amp;VersaPro!D$47&amp;" = *W-*A-*S-*C-"&amp;VersaPro!D51&amp;" #")</f>
        <v xml:space="preserve">
key *W-*A-*S-*C-m1-Semicolon = *W-*A-*S-*C-Z #</v>
      </c>
      <c r="E51" s="1" t="str">
        <f>IF(LEN(VersaPro!E51)=0,"",CHAR(10)&amp;"key *W-*A-*S-*C-m"&amp;MOD(ROW()-8,14)&amp;"-"&amp;VersaPro!E$47&amp;" = *W-*A-*S-*C-"&amp;VersaPro!E51&amp;" #")</f>
        <v xml:space="preserve">
key *W-*A-*S-*C-m1-Q = *W-*A-*S-*C-V #</v>
      </c>
      <c r="F51" s="1" t="str">
        <f>IF(LEN(VersaPro!F51)=0,"",CHAR(10)&amp;"key *W-*A-*S-*C-m"&amp;MOD(ROW()-8,14)&amp;"-"&amp;VersaPro!F$47&amp;" = *W-*A-*S-*C-"&amp;VersaPro!F51&amp;" #")</f>
        <v xml:space="preserve">
key *W-*A-*S-*C-m1-J = *W-*A-*S-*C-W #</v>
      </c>
      <c r="G51" s="1" t="str">
        <f>IF(LEN(VersaPro!G51)=0,"",CHAR(10)&amp;"key *W-*A-*S-*C-m"&amp;MOD(ROW()-8,14)&amp;"-"&amp;VersaPro!G$47&amp;" = *W-*A-*S-*C-"&amp;VersaPro!G51&amp;" #")</f>
        <v xml:space="preserve">
key *W-*A-*S-*C-m1-K = *W-*A-*S-*C-M #</v>
      </c>
      <c r="H51" s="1" t="str">
        <f>IF(LEN(VersaPro!H51)=0,"",CHAR(10)&amp;"key *W-*A-*S-*C-m"&amp;MOD(ROW()-8,14)&amp;"-"&amp;VersaPro!H$47&amp;" = *W-*A-*S-*C-"&amp;VersaPro!H51&amp;" #")</f>
        <v xml:space="preserve">
key *W-*A-*S-*C-m1-X = *W-*A-*S-*C-B #</v>
      </c>
      <c r="I51" s="1" t="str">
        <f>IF(LEN(VersaPro!I51)=0,"",CHAR(10)&amp;"key *W-*A-*S-*C-m"&amp;MOD(ROW()-8,14)&amp;"-"&amp;VersaPro!I$47&amp;" = *W-*A-*S-*C-"&amp;VersaPro!I51&amp;" #")</f>
        <v xml:space="preserve">
key *W-*A-*S-*C-m1-B = *W-*A-*S-*C-＠ #</v>
      </c>
      <c r="J51" s="1" t="str">
        <f>IF(LEN(VersaPro!J51)=0,"",CHAR(10)&amp;"key *W-*A-*S-*C-m"&amp;MOD(ROW()-8,14)&amp;"-"&amp;VersaPro!J$47&amp;" = *W-*A-*S-*C-"&amp;VersaPro!J51&amp;" #")</f>
        <v xml:space="preserve">
key *W-*A-*S-*C-m1-M = *W-*A-*S-*C-＠ #</v>
      </c>
      <c r="K51" s="1" t="str">
        <f>IF(LEN(VersaPro!K51)=0,"",CHAR(10)&amp;"key *W-*A-*S-*C-m"&amp;MOD(ROW()-8,14)&amp;"-"&amp;VersaPro!K$47&amp;" = *W-*A-*S-*C-"&amp;VersaPro!K51&amp;" #")</f>
        <v xml:space="preserve">
key *W-*A-*S-*C-m1-W = *W-*A-*S-*C-＠ #</v>
      </c>
      <c r="L51" s="1" t="str">
        <f>IF(LEN(VersaPro!L51)=0,"",CHAR(10)&amp;"key *W-*A-*S-*C-m"&amp;MOD(ROW()-8,14)&amp;"-"&amp;VersaPro!L$47&amp;" = *W-*A-*S-*C-"&amp;VersaPro!L51&amp;" #")</f>
        <v xml:space="preserve">
key *W-*A-*S-*C-m1-V = *W-*A-*S-*C-＠ #</v>
      </c>
      <c r="M51" s="1" t="str">
        <f>IF(LEN(VersaPro!M51)=0,"",CHAR(10)&amp;"key *W-*A-*S-*C-m"&amp;MOD(ROW()-8,14)&amp;"-"&amp;VersaPro!M$47&amp;" = *W-*A-*S-*C-"&amp;VersaPro!M51&amp;" #")</f>
        <v xml:space="preserve">
key *W-*A-*S-*C-m1-Z = *W-*A-*S-*C-＠ #</v>
      </c>
      <c r="N51" s="1" t="str">
        <f>IF(LEN(VersaPro!N51)=0,"",CHAR(10)&amp;"key *W-*A-*S-*C-m"&amp;MOD(ROW()-8,14)&amp;"-"&amp;VersaPro!N$47&amp;" = *W-*A-*S-*C-"&amp;VersaPro!N51&amp;" #")</f>
        <v xml:space="preserve">
key *W-*A-*S-*C-m1-YenSign = *W-*A-*S-*C-＠ #</v>
      </c>
      <c r="O51" s="1" t="str">
        <f>IF(LEN(VersaPro!O51)=0,"",CHAR(10)&amp;"key *W-*A-*S-*C-m"&amp;MOD(ROW()-8,14)&amp;"-"&amp;VersaPro!O$47&amp;" = *W-*A-*S-*C-"&amp;VersaPro!O51&amp;" #")</f>
        <v/>
      </c>
      <c r="P51" s="1" t="str">
        <f>IF(LEN(VersaPro!P51)=0,"",CHAR(10)&amp;"key *W-*A-*S-*C-m"&amp;MOD(ROW()-8,14)&amp;"-"&amp;VersaPro!P$47&amp;" = *W-*A-*S-*C-"&amp;VersaPro!P51&amp;" #")</f>
        <v/>
      </c>
      <c r="Q51" s="1" t="str">
        <f>IF(LEN(VersaPro!Q51)=0,"",CHAR(10)&amp;"key *W-*A-*S-*C-m"&amp;MOD(ROW()-8,14)&amp;"-"&amp;VersaPro!Q$47&amp;" = *W-*A-*S-*C-"&amp;VersaPro!Q51&amp;" #")</f>
        <v/>
      </c>
      <c r="R51" s="1" t="str">
        <f>IF(LEN(VersaPro!R51)=0,"",CHAR(10)&amp;"key *W-*A-*S-*C-m"&amp;MOD(ROW()-8,14)&amp;"-"&amp;VersaPro!R$47&amp;" = *W-*A-*S-*C-"&amp;VersaPro!R51&amp;" #")</f>
        <v/>
      </c>
    </row>
    <row r="52" spans="1:18" x14ac:dyDescent="0.7">
      <c r="A52" s="1" t="str">
        <f t="shared" si="3"/>
        <v># mod2</v>
      </c>
      <c r="B52" s="1" t="str">
        <f>IF(LEN(VersaPro!B52)=0,"",CHAR(10)&amp;"key *W-*A-*S-*C-m"&amp;MOD(ROW()-8,14)&amp;"-"&amp;VersaPro!B$47&amp;" = *W-*A-*S-*C-"&amp;VersaPro!B52&amp;" #")</f>
        <v/>
      </c>
      <c r="C52" s="1" t="str">
        <f>IF(LEN(VersaPro!C52)=0,"",CHAR(10)&amp;"key *W-*A-*S-*C-m"&amp;MOD(ROW()-8,14)&amp;"-"&amp;VersaPro!C$47&amp;" = *W-*A-*S-*C-"&amp;VersaPro!C52&amp;" #")</f>
        <v/>
      </c>
      <c r="D52" s="1" t="str">
        <f>IF(LEN(VersaPro!D52)=0,"",CHAR(10)&amp;"key *W-*A-*S-*C-m"&amp;MOD(ROW()-8,14)&amp;"-"&amp;VersaPro!D$47&amp;" = *W-*A-*S-*C-"&amp;VersaPro!D52&amp;" #")</f>
        <v xml:space="preserve">
key *W-*A-*S-*C-m2-Semicolon = *W-*A-*S-*C-$QUESTION_MARK #</v>
      </c>
      <c r="E52" s="1" t="str">
        <f>IF(LEN(VersaPro!E52)=0,"",CHAR(10)&amp;"key *W-*A-*S-*C-m"&amp;MOD(ROW()-8,14)&amp;"-"&amp;VersaPro!E$47&amp;" = *W-*A-*S-*C-"&amp;VersaPro!E52&amp;" #")</f>
        <v xml:space="preserve">
key *W-*A-*S-*C-m2-Q = *W-*A-*S-*C-Slash #</v>
      </c>
      <c r="F52" s="1" t="str">
        <f>IF(LEN(VersaPro!F52)=0,"",CHAR(10)&amp;"key *W-*A-*S-*C-m"&amp;MOD(ROW()-8,14)&amp;"-"&amp;VersaPro!F$47&amp;" = *W-*A-*S-*C-"&amp;VersaPro!F52&amp;" #")</f>
        <v xml:space="preserve">
key *W-*A-*S-*C-m2-J = *W-*A-*S-*C-$CIRCUMFLEX_ACCENT #</v>
      </c>
      <c r="G52" s="1" t="str">
        <f>IF(LEN(VersaPro!G52)=0,"",CHAR(10)&amp;"key *W-*A-*S-*C-m"&amp;MOD(ROW()-8,14)&amp;"-"&amp;VersaPro!G$47&amp;" = *W-*A-*S-*C-"&amp;VersaPro!G52&amp;" #")</f>
        <v xml:space="preserve">
key *W-*A-*S-*C-m2-K = *W-*A-*S-*C-$EXCLAMATION_MARK #</v>
      </c>
      <c r="H52" s="1" t="str">
        <f>IF(LEN(VersaPro!H52)=0,"",CHAR(10)&amp;"key *W-*A-*S-*C-m"&amp;MOD(ROW()-8,14)&amp;"-"&amp;VersaPro!H$47&amp;" = *W-*A-*S-*C-"&amp;VersaPro!H52&amp;" #")</f>
        <v xml:space="preserve">
key *W-*A-*S-*C-m2-X = *W-*A-*S-*C-$GRAVE_ACCENT #</v>
      </c>
      <c r="I52" s="1" t="str">
        <f>IF(LEN(VersaPro!I52)=0,"",CHAR(10)&amp;"key *W-*A-*S-*C-m"&amp;MOD(ROW()-8,14)&amp;"-"&amp;VersaPro!I$47&amp;" = *W-*A-*S-*C-"&amp;VersaPro!I52&amp;" #")</f>
        <v xml:space="preserve">
key *W-*A-*S-*C-m2-B = *W-*A-*S-*C-$TILDE #</v>
      </c>
      <c r="J52" s="1" t="str">
        <f>IF(LEN(VersaPro!J52)=0,"",CHAR(10)&amp;"key *W-*A-*S-*C-m"&amp;MOD(ROW()-8,14)&amp;"-"&amp;VersaPro!J$47&amp;" = *W-*A-*S-*C-"&amp;VersaPro!J52&amp;" #")</f>
        <v xml:space="preserve">
key *W-*A-*S-*C-m2-M = *W-*A-*S-*C-$ASTERISK #</v>
      </c>
      <c r="K52" s="1" t="str">
        <f>IF(LEN(VersaPro!K52)=0,"",CHAR(10)&amp;"key *W-*A-*S-*C-m"&amp;MOD(ROW()-8,14)&amp;"-"&amp;VersaPro!K$47&amp;" = *W-*A-*S-*C-"&amp;VersaPro!K52&amp;" #")</f>
        <v xml:space="preserve">
key *W-*A-*S-*C-m2-W = *W-*A-*S-*C-$PLUS_SIGN #</v>
      </c>
      <c r="L52" s="1" t="str">
        <f>IF(LEN(VersaPro!L52)=0,"",CHAR(10)&amp;"key *W-*A-*S-*C-m"&amp;MOD(ROW()-8,14)&amp;"-"&amp;VersaPro!L$47&amp;" = *W-*A-*S-*C-"&amp;VersaPro!L52&amp;" #")</f>
        <v xml:space="preserve">
key *W-*A-*S-*C-m2-V = *W-*A-*S-*C-$EQUALS_SIGN #</v>
      </c>
      <c r="M52" s="1" t="str">
        <f>IF(LEN(VersaPro!M52)=0,"",CHAR(10)&amp;"key *W-*A-*S-*C-m"&amp;MOD(ROW()-8,14)&amp;"-"&amp;VersaPro!M$47&amp;" = *W-*A-*S-*C-"&amp;VersaPro!M52&amp;" #")</f>
        <v xml:space="preserve">
key *W-*A-*S-*C-m2-Z = *W-*A-*S-*C-BackSlash #</v>
      </c>
      <c r="N52" s="1" t="str">
        <f>IF(LEN(VersaPro!N52)=0,"",CHAR(10)&amp;"key *W-*A-*S-*C-m"&amp;MOD(ROW()-8,14)&amp;"-"&amp;VersaPro!N$47&amp;" = *W-*A-*S-*C-"&amp;VersaPro!N52&amp;" #")</f>
        <v xml:space="preserve">
key *W-*A-*S-*C-m2-YenSign = *W-*A-*S-*C-＠ #</v>
      </c>
      <c r="O52" s="1" t="str">
        <f>IF(LEN(VersaPro!O52)=0,"",CHAR(10)&amp;"key *W-*A-*S-*C-m"&amp;MOD(ROW()-8,14)&amp;"-"&amp;VersaPro!O$47&amp;" = *W-*A-*S-*C-"&amp;VersaPro!O52&amp;" #")</f>
        <v/>
      </c>
      <c r="P52" s="1" t="str">
        <f>IF(LEN(VersaPro!P52)=0,"",CHAR(10)&amp;"key *W-*A-*S-*C-m"&amp;MOD(ROW()-8,14)&amp;"-"&amp;VersaPro!P$47&amp;" = *W-*A-*S-*C-"&amp;VersaPro!P52&amp;" #")</f>
        <v/>
      </c>
      <c r="Q52" s="1" t="str">
        <f>IF(LEN(VersaPro!Q52)=0,"",CHAR(10)&amp;"key *W-*A-*S-*C-m"&amp;MOD(ROW()-8,14)&amp;"-"&amp;VersaPro!Q$47&amp;" = *W-*A-*S-*C-"&amp;VersaPro!Q52&amp;" #")</f>
        <v/>
      </c>
      <c r="R52" s="1" t="str">
        <f>IF(LEN(VersaPro!R52)=0,"",CHAR(10)&amp;"key *W-*A-*S-*C-m"&amp;MOD(ROW()-8,14)&amp;"-"&amp;VersaPro!R$47&amp;" = *W-*A-*S-*C-"&amp;VersaPro!R52&amp;" #")</f>
        <v/>
      </c>
    </row>
    <row r="53" spans="1:18" x14ac:dyDescent="0.7">
      <c r="A53" s="1" t="str">
        <f t="shared" si="3"/>
        <v># mod3</v>
      </c>
      <c r="B53" s="1" t="str">
        <f>IF(LEN(VersaPro!B53)=0,"",CHAR(10)&amp;"key *W-*A-*S-*C-m"&amp;MOD(ROW()-8,14)&amp;"-"&amp;VersaPro!B$47&amp;" = *W-*A-*S-*C-"&amp;VersaPro!B53&amp;" #")</f>
        <v/>
      </c>
      <c r="C53" s="1" t="str">
        <f>IF(LEN(VersaPro!C53)=0,"",CHAR(10)&amp;"key *W-*A-*S-*C-m"&amp;MOD(ROW()-8,14)&amp;"-"&amp;VersaPro!C$47&amp;" = *W-*A-*S-*C-"&amp;VersaPro!C53&amp;" #")</f>
        <v/>
      </c>
      <c r="D53" s="1" t="str">
        <f>IF(LEN(VersaPro!D53)=0,"",CHAR(10)&amp;"key *W-*A-*S-*C-m"&amp;MOD(ROW()-8,14)&amp;"-"&amp;VersaPro!D$47&amp;" = *W-*A-*S-*C-"&amp;VersaPro!D53&amp;" #")</f>
        <v xml:space="preserve">
key *W-*A-*S-*C-m3-Semicolon = *W-*A-*S-*C-BackSlash #</v>
      </c>
      <c r="E53" s="1" t="str">
        <f>IF(LEN(VersaPro!E53)=0,"",CHAR(10)&amp;"key *W-*A-*S-*C-m"&amp;MOD(ROW()-8,14)&amp;"-"&amp;VersaPro!E$47&amp;" = *W-*A-*S-*C-"&amp;VersaPro!E53&amp;" #")</f>
        <v xml:space="preserve">
key *W-*A-*S-*C-m3-Q = *W-*A-*S-*C-$EQUALS_SIGN #</v>
      </c>
      <c r="F53" s="1" t="str">
        <f>IF(LEN(VersaPro!F53)=0,"",CHAR(10)&amp;"key *W-*A-*S-*C-m"&amp;MOD(ROW()-8,14)&amp;"-"&amp;VersaPro!F$47&amp;" = *W-*A-*S-*C-"&amp;VersaPro!F53&amp;" #")</f>
        <v xml:space="preserve">
key *W-*A-*S-*C-m3-J = *W-*A-*S-*C-$PLUS_SIGN #</v>
      </c>
      <c r="G53" s="1" t="str">
        <f>IF(LEN(VersaPro!G53)=0,"",CHAR(10)&amp;"key *W-*A-*S-*C-m"&amp;MOD(ROW()-8,14)&amp;"-"&amp;VersaPro!G$47&amp;" = *W-*A-*S-*C-"&amp;VersaPro!G53&amp;" #")</f>
        <v xml:space="preserve">
key *W-*A-*S-*C-m3-K = *W-*A-*S-*C-$ASTERISK #</v>
      </c>
      <c r="H53" s="1" t="str">
        <f>IF(LEN(VersaPro!H53)=0,"",CHAR(10)&amp;"key *W-*A-*S-*C-m"&amp;MOD(ROW()-8,14)&amp;"-"&amp;VersaPro!H$47&amp;" = *W-*A-*S-*C-"&amp;VersaPro!H53&amp;" #")</f>
        <v xml:space="preserve">
key *W-*A-*S-*C-m3-X = *W-*A-*S-*C-$TILDE #</v>
      </c>
      <c r="I53" s="1" t="str">
        <f>IF(LEN(VersaPro!I53)=0,"",CHAR(10)&amp;"key *W-*A-*S-*C-m"&amp;MOD(ROW()-8,14)&amp;"-"&amp;VersaPro!I$47&amp;" = *W-*A-*S-*C-"&amp;VersaPro!I53&amp;" #")</f>
        <v/>
      </c>
      <c r="J53" s="1" t="str">
        <f>IF(LEN(VersaPro!J53)=0,"",CHAR(10)&amp;"key *W-*A-*S-*C-m"&amp;MOD(ROW()-8,14)&amp;"-"&amp;VersaPro!J$47&amp;" = *W-*A-*S-*C-"&amp;VersaPro!J53&amp;" #")</f>
        <v/>
      </c>
      <c r="K53" s="1" t="str">
        <f>IF(LEN(VersaPro!K53)=0,"",CHAR(10)&amp;"key *W-*A-*S-*C-m"&amp;MOD(ROW()-8,14)&amp;"-"&amp;VersaPro!K$47&amp;" = *W-*A-*S-*C-"&amp;VersaPro!K53&amp;" #")</f>
        <v/>
      </c>
      <c r="L53" s="1" t="str">
        <f>IF(LEN(VersaPro!L53)=0,"",CHAR(10)&amp;"key *W-*A-*S-*C-m"&amp;MOD(ROW()-8,14)&amp;"-"&amp;VersaPro!L$47&amp;" = *W-*A-*S-*C-"&amp;VersaPro!L53&amp;" #")</f>
        <v/>
      </c>
      <c r="M53" s="1" t="str">
        <f>IF(LEN(VersaPro!M53)=0,"",CHAR(10)&amp;"key *W-*A-*S-*C-m"&amp;MOD(ROW()-8,14)&amp;"-"&amp;VersaPro!M$47&amp;" = *W-*A-*S-*C-"&amp;VersaPro!M53&amp;" #")</f>
        <v/>
      </c>
      <c r="N53" s="1" t="str">
        <f>IF(LEN(VersaPro!N53)=0,"",CHAR(10)&amp;"key *W-*A-*S-*C-m"&amp;MOD(ROW()-8,14)&amp;"-"&amp;VersaPro!N$47&amp;" = *W-*A-*S-*C-"&amp;VersaPro!N53&amp;" #")</f>
        <v/>
      </c>
      <c r="O53" s="1" t="str">
        <f>IF(LEN(VersaPro!O53)=0,"",CHAR(10)&amp;"key *W-*A-*S-*C-m"&amp;MOD(ROW()-8,14)&amp;"-"&amp;VersaPro!O$47&amp;" = *W-*A-*S-*C-"&amp;VersaPro!O53&amp;" #")</f>
        <v/>
      </c>
      <c r="P53" s="1" t="str">
        <f>IF(LEN(VersaPro!P53)=0,"",CHAR(10)&amp;"key *W-*A-*S-*C-m"&amp;MOD(ROW()-8,14)&amp;"-"&amp;VersaPro!P$47&amp;" = *W-*A-*S-*C-"&amp;VersaPro!P53&amp;" #")</f>
        <v/>
      </c>
      <c r="Q53" s="1" t="str">
        <f>IF(LEN(VersaPro!Q53)=0,"",CHAR(10)&amp;"key *W-*A-*S-*C-m"&amp;MOD(ROW()-8,14)&amp;"-"&amp;VersaPro!Q$47&amp;" = *W-*A-*S-*C-"&amp;VersaPro!Q53&amp;" #")</f>
        <v/>
      </c>
      <c r="R53" s="1" t="str">
        <f>IF(LEN(VersaPro!R53)=0,"",CHAR(10)&amp;"key *W-*A-*S-*C-m"&amp;MOD(ROW()-8,14)&amp;"-"&amp;VersaPro!R$47&amp;" = *W-*A-*S-*C-"&amp;VersaPro!R53&amp;" #")</f>
        <v/>
      </c>
    </row>
    <row r="54" spans="1:18" x14ac:dyDescent="0.7">
      <c r="A54" s="1" t="str">
        <f t="shared" si="3"/>
        <v># mod4</v>
      </c>
      <c r="B54" s="1" t="str">
        <f>IF(LEN(VersaPro!B54)=0,"",CHAR(10)&amp;"key *W-*A-*S-*C-m"&amp;MOD(ROW()-8,14)&amp;"-"&amp;VersaPro!B$47&amp;" = *W-*A-*S-*C-"&amp;VersaPro!B54&amp;" #")</f>
        <v/>
      </c>
      <c r="C54" s="1" t="str">
        <f>IF(LEN(VersaPro!C54)=0,"",CHAR(10)&amp;"key *W-*A-*S-*C-m"&amp;MOD(ROW()-8,14)&amp;"-"&amp;VersaPro!C$47&amp;" = *W-*A-*S-*C-"&amp;VersaPro!C54&amp;" #")</f>
        <v xml:space="preserve">
key *W-*A-*S-*C-m4-Tab = *W-*A-*S-*C-C-R #</v>
      </c>
      <c r="D54" s="1" t="str">
        <f>IF(LEN(VersaPro!D54)=0,"",CHAR(10)&amp;"key *W-*A-*S-*C-m"&amp;MOD(ROW()-8,14)&amp;"-"&amp;VersaPro!D$47&amp;" = *W-*A-*S-*C-"&amp;VersaPro!D54&amp;" #")</f>
        <v xml:space="preserve">
key *W-*A-*S-*C-m4-Semicolon = *W-*A-*S-*C-C-A #</v>
      </c>
      <c r="E54" s="1" t="str">
        <f>IF(LEN(VersaPro!E54)=0,"",CHAR(10)&amp;"key *W-*A-*S-*C-m"&amp;MOD(ROW()-8,14)&amp;"-"&amp;VersaPro!E$47&amp;" = *W-*A-*S-*C-"&amp;VersaPro!E54&amp;" #")</f>
        <v xml:space="preserve">
key *W-*A-*S-*C-m4-Q = *W-*A-*S-*C-C-F #</v>
      </c>
      <c r="F54" s="1" t="str">
        <f>IF(LEN(VersaPro!F54)=0,"",CHAR(10)&amp;"key *W-*A-*S-*C-m"&amp;MOD(ROW()-8,14)&amp;"-"&amp;VersaPro!F$47&amp;" = *W-*A-*S-*C-"&amp;VersaPro!F54&amp;" #")</f>
        <v xml:space="preserve">
key *W-*A-*S-*C-m4-J = *W-*A-*S-*C-C-J #</v>
      </c>
      <c r="G54" s="1" t="str">
        <f>IF(LEN(VersaPro!G54)=0,"",CHAR(10)&amp;"key *W-*A-*S-*C-m"&amp;MOD(ROW()-8,14)&amp;"-"&amp;VersaPro!G$47&amp;" = *W-*A-*S-*C-"&amp;VersaPro!G54&amp;" #")</f>
        <v xml:space="preserve">
key *W-*A-*S-*C-m4-K = *W-*A-*S-*C-A-Space #</v>
      </c>
      <c r="H54" s="1" t="str">
        <f>IF(LEN(VersaPro!H54)=0,"",CHAR(10)&amp;"key *W-*A-*S-*C-m"&amp;MOD(ROW()-8,14)&amp;"-"&amp;VersaPro!H$47&amp;" = *W-*A-*S-*C-"&amp;VersaPro!H54&amp;" #")</f>
        <v xml:space="preserve">
key *W-*A-*S-*C-m4-X = *W-*A-*S-*C-S-C-B #</v>
      </c>
      <c r="I54" s="1" t="str">
        <f>IF(LEN(VersaPro!I54)=0,"",CHAR(10)&amp;"key *W-*A-*S-*C-m"&amp;MOD(ROW()-8,14)&amp;"-"&amp;VersaPro!I$47&amp;" = *W-*A-*S-*C-"&amp;VersaPro!I54&amp;" #")</f>
        <v/>
      </c>
      <c r="J54" s="1" t="str">
        <f>IF(LEN(VersaPro!J54)=0,"",CHAR(10)&amp;"key *W-*A-*S-*C-m"&amp;MOD(ROW()-8,14)&amp;"-"&amp;VersaPro!J$47&amp;" = *W-*A-*S-*C-"&amp;VersaPro!J54&amp;" #")</f>
        <v/>
      </c>
      <c r="K54" s="1" t="str">
        <f>IF(LEN(VersaPro!K54)=0,"",CHAR(10)&amp;"key *W-*A-*S-*C-m"&amp;MOD(ROW()-8,14)&amp;"-"&amp;VersaPro!K$47&amp;" = *W-*A-*S-*C-"&amp;VersaPro!K54&amp;" #")</f>
        <v/>
      </c>
      <c r="L54" s="1" t="str">
        <f>IF(LEN(VersaPro!L54)=0,"",CHAR(10)&amp;"key *W-*A-*S-*C-m"&amp;MOD(ROW()-8,14)&amp;"-"&amp;VersaPro!L$47&amp;" = *W-*A-*S-*C-"&amp;VersaPro!L54&amp;" #")</f>
        <v/>
      </c>
      <c r="M54" s="1" t="str">
        <f>IF(LEN(VersaPro!M54)=0,"",CHAR(10)&amp;"key *W-*A-*S-*C-m"&amp;MOD(ROW()-8,14)&amp;"-"&amp;VersaPro!M$47&amp;" = *W-*A-*S-*C-"&amp;VersaPro!M54&amp;" #")</f>
        <v/>
      </c>
      <c r="N54" s="1" t="str">
        <f>IF(LEN(VersaPro!N54)=0,"",CHAR(10)&amp;"key *W-*A-*S-*C-m"&amp;MOD(ROW()-8,14)&amp;"-"&amp;VersaPro!N$47&amp;" = *W-*A-*S-*C-"&amp;VersaPro!N54&amp;" #")</f>
        <v/>
      </c>
      <c r="O54" s="1" t="str">
        <f>IF(LEN(VersaPro!O54)=0,"",CHAR(10)&amp;"key *W-*A-*S-*C-m"&amp;MOD(ROW()-8,14)&amp;"-"&amp;VersaPro!O$47&amp;" = *W-*A-*S-*C-"&amp;VersaPro!O54&amp;" #")</f>
        <v/>
      </c>
      <c r="P54" s="1" t="str">
        <f>IF(LEN(VersaPro!P54)=0,"",CHAR(10)&amp;"key *W-*A-*S-*C-m"&amp;MOD(ROW()-8,14)&amp;"-"&amp;VersaPro!P$47&amp;" = *W-*A-*S-*C-"&amp;VersaPro!P54&amp;" #")</f>
        <v/>
      </c>
      <c r="Q54" s="1" t="str">
        <f>IF(LEN(VersaPro!Q54)=0,"",CHAR(10)&amp;"key *W-*A-*S-*C-m"&amp;MOD(ROW()-8,14)&amp;"-"&amp;VersaPro!Q$47&amp;" = *W-*A-*S-*C-"&amp;VersaPro!Q54&amp;" #")</f>
        <v/>
      </c>
      <c r="R54" s="1" t="str">
        <f>IF(LEN(VersaPro!R54)=0,"",CHAR(10)&amp;"key *W-*A-*S-*C-m"&amp;MOD(ROW()-8,14)&amp;"-"&amp;VersaPro!R$47&amp;" = *W-*A-*S-*C-"&amp;VersaPro!R54&amp;" #")</f>
        <v/>
      </c>
    </row>
    <row r="55" spans="1:18" x14ac:dyDescent="0.7">
      <c r="A55" s="1" t="str">
        <f t="shared" si="3"/>
        <v># mod5</v>
      </c>
      <c r="B55" s="1" t="str">
        <f>IF(LEN(VersaPro!B55)=0,"",CHAR(10)&amp;"key *W-*A-*S-*C-m"&amp;MOD(ROW()-8,14)&amp;"-"&amp;VersaPro!B$47&amp;" = *W-*A-*S-*C-"&amp;VersaPro!B55&amp;" #")</f>
        <v/>
      </c>
      <c r="C55" s="1" t="str">
        <f>IF(LEN(VersaPro!C55)=0,"",CHAR(10)&amp;"key *W-*A-*S-*C-m"&amp;MOD(ROW()-8,14)&amp;"-"&amp;VersaPro!C$47&amp;" = *W-*A-*S-*C-"&amp;VersaPro!C55&amp;" #")</f>
        <v xml:space="preserve">
key *W-*A-*S-*C-m5-Tab = *W-*A-*S-*C-F11 #</v>
      </c>
      <c r="D55" s="1" t="str">
        <f>IF(LEN(VersaPro!D55)=0,"",CHAR(10)&amp;"key *W-*A-*S-*C-m"&amp;MOD(ROW()-8,14)&amp;"-"&amp;VersaPro!D$47&amp;" = *W-*A-*S-*C-"&amp;VersaPro!D55&amp;" #")</f>
        <v xml:space="preserve">
key *W-*A-*S-*C-m5-Semicolon = *W-*A-*S-*C-F10 #</v>
      </c>
      <c r="E55" s="1" t="str">
        <f>IF(LEN(VersaPro!E55)=0,"",CHAR(10)&amp;"key *W-*A-*S-*C-m"&amp;MOD(ROW()-8,14)&amp;"-"&amp;VersaPro!E$47&amp;" = *W-*A-*S-*C-"&amp;VersaPro!E55&amp;" #")</f>
        <v xml:space="preserve">
key *W-*A-*S-*C-m5-Q = *W-*A-*S-*C-F9 #</v>
      </c>
      <c r="F55" s="1" t="str">
        <f>IF(LEN(VersaPro!F55)=0,"",CHAR(10)&amp;"key *W-*A-*S-*C-m"&amp;MOD(ROW()-8,14)&amp;"-"&amp;VersaPro!F$47&amp;" = *W-*A-*S-*C-"&amp;VersaPro!F55&amp;" #")</f>
        <v xml:space="preserve">
key *W-*A-*S-*C-m5-J = *W-*A-*S-*C-F7 #</v>
      </c>
      <c r="G55" s="1" t="str">
        <f>IF(LEN(VersaPro!G55)=0,"",CHAR(10)&amp;"key *W-*A-*S-*C-m"&amp;MOD(ROW()-8,14)&amp;"-"&amp;VersaPro!G$47&amp;" = *W-*A-*S-*C-"&amp;VersaPro!G55&amp;" #")</f>
        <v xml:space="preserve">
key *W-*A-*S-*C-m5-K = *W-*A-*S-*C-F6 #</v>
      </c>
      <c r="H55" s="1" t="str">
        <f>IF(LEN(VersaPro!H55)=0,"",CHAR(10)&amp;"key *W-*A-*S-*C-m"&amp;MOD(ROW()-8,14)&amp;"-"&amp;VersaPro!H$47&amp;" = *W-*A-*S-*C-"&amp;VersaPro!H55&amp;" #")</f>
        <v xml:space="preserve">
key *W-*A-*S-*C-m5-X = *W-*A-*S-*C-F5 #</v>
      </c>
      <c r="I55" s="1" t="str">
        <f>IF(LEN(VersaPro!I55)=0,"",CHAR(10)&amp;"key *W-*A-*S-*C-m"&amp;MOD(ROW()-8,14)&amp;"-"&amp;VersaPro!I$47&amp;" = *W-*A-*S-*C-"&amp;VersaPro!I55&amp;" #")</f>
        <v/>
      </c>
      <c r="J55" s="1" t="str">
        <f>IF(LEN(VersaPro!J55)=0,"",CHAR(10)&amp;"key *W-*A-*S-*C-m"&amp;MOD(ROW()-8,14)&amp;"-"&amp;VersaPro!J$47&amp;" = *W-*A-*S-*C-"&amp;VersaPro!J55&amp;" #")</f>
        <v/>
      </c>
      <c r="K55" s="1" t="str">
        <f>IF(LEN(VersaPro!K55)=0,"",CHAR(10)&amp;"key *W-*A-*S-*C-m"&amp;MOD(ROW()-8,14)&amp;"-"&amp;VersaPro!K$47&amp;" = *W-*A-*S-*C-"&amp;VersaPro!K55&amp;" #")</f>
        <v/>
      </c>
      <c r="L55" s="1" t="str">
        <f>IF(LEN(VersaPro!L55)=0,"",CHAR(10)&amp;"key *W-*A-*S-*C-m"&amp;MOD(ROW()-8,14)&amp;"-"&amp;VersaPro!L$47&amp;" = *W-*A-*S-*C-"&amp;VersaPro!L55&amp;" #")</f>
        <v/>
      </c>
      <c r="M55" s="1" t="str">
        <f>IF(LEN(VersaPro!M55)=0,"",CHAR(10)&amp;"key *W-*A-*S-*C-m"&amp;MOD(ROW()-8,14)&amp;"-"&amp;VersaPro!M$47&amp;" = *W-*A-*S-*C-"&amp;VersaPro!M55&amp;" #")</f>
        <v/>
      </c>
      <c r="N55" s="1" t="str">
        <f>IF(LEN(VersaPro!N55)=0,"",CHAR(10)&amp;"key *W-*A-*S-*C-m"&amp;MOD(ROW()-8,14)&amp;"-"&amp;VersaPro!N$47&amp;" = *W-*A-*S-*C-"&amp;VersaPro!N55&amp;" #")</f>
        <v/>
      </c>
      <c r="O55" s="1" t="str">
        <f>IF(LEN(VersaPro!O55)=0,"",CHAR(10)&amp;"key *W-*A-*S-*C-m"&amp;MOD(ROW()-8,14)&amp;"-"&amp;VersaPro!O$47&amp;" = *W-*A-*S-*C-"&amp;VersaPro!O55&amp;" #")</f>
        <v/>
      </c>
      <c r="P55" s="1" t="str">
        <f>IF(LEN(VersaPro!P55)=0,"",CHAR(10)&amp;"key *W-*A-*S-*C-m"&amp;MOD(ROW()-8,14)&amp;"-"&amp;VersaPro!P$47&amp;" = *W-*A-*S-*C-"&amp;VersaPro!P55&amp;" #")</f>
        <v/>
      </c>
      <c r="Q55" s="1" t="str">
        <f>IF(LEN(VersaPro!Q55)=0,"",CHAR(10)&amp;"key *W-*A-*S-*C-m"&amp;MOD(ROW()-8,14)&amp;"-"&amp;VersaPro!Q$47&amp;" = *W-*A-*S-*C-"&amp;VersaPro!Q55&amp;" #")</f>
        <v/>
      </c>
      <c r="R55" s="1" t="str">
        <f>IF(LEN(VersaPro!R55)=0,"",CHAR(10)&amp;"key *W-*A-*S-*C-m"&amp;MOD(ROW()-8,14)&amp;"-"&amp;VersaPro!R$47&amp;" = *W-*A-*S-*C-"&amp;VersaPro!R55&amp;" #")</f>
        <v/>
      </c>
    </row>
    <row r="56" spans="1:18" x14ac:dyDescent="0.7">
      <c r="A56" s="1" t="str">
        <f t="shared" si="3"/>
        <v># mod6</v>
      </c>
      <c r="B56" s="1" t="str">
        <f>IF(LEN(VersaPro!B56)=0,"",CHAR(10)&amp;"key *W-*A-*S-*C-m"&amp;MOD(ROW()-8,14)&amp;"-"&amp;VersaPro!B$47&amp;" = *W-*A-*S-*C-"&amp;VersaPro!B56&amp;" #")</f>
        <v/>
      </c>
      <c r="C56" s="1" t="str">
        <f>IF(LEN(VersaPro!C56)=0,"",CHAR(10)&amp;"key *W-*A-*S-*C-m"&amp;MOD(ROW()-8,14)&amp;"-"&amp;VersaPro!C$47&amp;" = *W-*A-*S-*C-"&amp;VersaPro!C56&amp;" #")</f>
        <v/>
      </c>
      <c r="D56" s="1" t="str">
        <f>IF(LEN(VersaPro!D56)=0,"",CHAR(10)&amp;"key *W-*A-*S-*C-m"&amp;MOD(ROW()-8,14)&amp;"-"&amp;VersaPro!D$47&amp;" = *W-*A-*S-*C-"&amp;VersaPro!D56&amp;" #")</f>
        <v xml:space="preserve">
key *W-*A-*S-*C-m6-Semicolon = *W-*A-*S-*C-A-← #</v>
      </c>
      <c r="E56" s="1" t="str">
        <f>IF(LEN(VersaPro!E56)=0,"",CHAR(10)&amp;"key *W-*A-*S-*C-m"&amp;MOD(ROW()-8,14)&amp;"-"&amp;VersaPro!E$47&amp;" = *W-*A-*S-*C-"&amp;VersaPro!E56&amp;" #")</f>
        <v xml:space="preserve">
key *W-*A-*S-*C-m6-Q = *W-*A-*S-*C-A-→ #</v>
      </c>
      <c r="F56" s="1" t="str">
        <f>IF(LEN(VersaPro!F56)=0,"",CHAR(10)&amp;"key *W-*A-*S-*C-m"&amp;MOD(ROW()-8,14)&amp;"-"&amp;VersaPro!F$47&amp;" = *W-*A-*S-*C-"&amp;VersaPro!F56&amp;" #")</f>
        <v xml:space="preserve">
key *W-*A-*S-*C-m6-J = *W-*A-*S-*C-A-↓ #</v>
      </c>
      <c r="G56" s="1" t="str">
        <f>IF(LEN(VersaPro!G56)=0,"",CHAR(10)&amp;"key *W-*A-*S-*C-m"&amp;MOD(ROW()-8,14)&amp;"-"&amp;VersaPro!G$47&amp;" = *W-*A-*S-*C-"&amp;VersaPro!G56&amp;" #")</f>
        <v xml:space="preserve">
key *W-*A-*S-*C-m6-K = *W-*A-*S-*C-A-↑ #</v>
      </c>
      <c r="H56" s="1" t="str">
        <f>IF(LEN(VersaPro!H56)=0,"",CHAR(10)&amp;"key *W-*A-*S-*C-m"&amp;MOD(ROW()-8,14)&amp;"-"&amp;VersaPro!H$47&amp;" = *W-*A-*S-*C-"&amp;VersaPro!H56&amp;" #")</f>
        <v xml:space="preserve">
key *W-*A-*S-*C-m6-X = *W-*A-*S-*C-＠ #</v>
      </c>
      <c r="I56" s="1" t="str">
        <f>IF(LEN(VersaPro!I56)=0,"",CHAR(10)&amp;"key *W-*A-*S-*C-m"&amp;MOD(ROW()-8,14)&amp;"-"&amp;VersaPro!I$47&amp;" = *W-*A-*S-*C-"&amp;VersaPro!I56&amp;" #")</f>
        <v/>
      </c>
      <c r="J56" s="1" t="str">
        <f>IF(LEN(VersaPro!J56)=0,"",CHAR(10)&amp;"key *W-*A-*S-*C-m"&amp;MOD(ROW()-8,14)&amp;"-"&amp;VersaPro!J$47&amp;" = *W-*A-*S-*C-"&amp;VersaPro!J56&amp;" #")</f>
        <v/>
      </c>
      <c r="K56" s="1" t="str">
        <f>IF(LEN(VersaPro!K56)=0,"",CHAR(10)&amp;"key *W-*A-*S-*C-m"&amp;MOD(ROW()-8,14)&amp;"-"&amp;VersaPro!K$47&amp;" = *W-*A-*S-*C-"&amp;VersaPro!K56&amp;" #")</f>
        <v/>
      </c>
      <c r="L56" s="1" t="str">
        <f>IF(LEN(VersaPro!L56)=0,"",CHAR(10)&amp;"key *W-*A-*S-*C-m"&amp;MOD(ROW()-8,14)&amp;"-"&amp;VersaPro!L$47&amp;" = *W-*A-*S-*C-"&amp;VersaPro!L56&amp;" #")</f>
        <v/>
      </c>
      <c r="M56" s="1" t="str">
        <f>IF(LEN(VersaPro!M56)=0,"",CHAR(10)&amp;"key *W-*A-*S-*C-m"&amp;MOD(ROW()-8,14)&amp;"-"&amp;VersaPro!M$47&amp;" = *W-*A-*S-*C-"&amp;VersaPro!M56&amp;" #")</f>
        <v/>
      </c>
      <c r="N56" s="1" t="str">
        <f>IF(LEN(VersaPro!N56)=0,"",CHAR(10)&amp;"key *W-*A-*S-*C-m"&amp;MOD(ROW()-8,14)&amp;"-"&amp;VersaPro!N$47&amp;" = *W-*A-*S-*C-"&amp;VersaPro!N56&amp;" #")</f>
        <v/>
      </c>
      <c r="O56" s="1" t="str">
        <f>IF(LEN(VersaPro!O56)=0,"",CHAR(10)&amp;"key *W-*A-*S-*C-m"&amp;MOD(ROW()-8,14)&amp;"-"&amp;VersaPro!O$47&amp;" = *W-*A-*S-*C-"&amp;VersaPro!O56&amp;" #")</f>
        <v/>
      </c>
      <c r="P56" s="1" t="str">
        <f>IF(LEN(VersaPro!P56)=0,"",CHAR(10)&amp;"key *W-*A-*S-*C-m"&amp;MOD(ROW()-8,14)&amp;"-"&amp;VersaPro!P$47&amp;" = *W-*A-*S-*C-"&amp;VersaPro!P56&amp;" #")</f>
        <v/>
      </c>
      <c r="Q56" s="1" t="str">
        <f>IF(LEN(VersaPro!Q56)=0,"",CHAR(10)&amp;"key *W-*A-*S-*C-m"&amp;MOD(ROW()-8,14)&amp;"-"&amp;VersaPro!Q$47&amp;" = *W-*A-*S-*C-"&amp;VersaPro!Q56&amp;" #")</f>
        <v/>
      </c>
      <c r="R56" s="1" t="str">
        <f>IF(LEN(VersaPro!R56)=0,"",CHAR(10)&amp;"key *W-*A-*S-*C-m"&amp;MOD(ROW()-8,14)&amp;"-"&amp;VersaPro!R$47&amp;" = *W-*A-*S-*C-"&amp;VersaPro!R56&amp;" #")</f>
        <v/>
      </c>
    </row>
    <row r="57" spans="1:18" x14ac:dyDescent="0.7">
      <c r="A57" s="1" t="str">
        <f t="shared" si="3"/>
        <v># mod7</v>
      </c>
      <c r="B57" s="1" t="str">
        <f>IF(LEN(VersaPro!B57)=0,"",CHAR(10)&amp;"key *W-*A-*S-*C-m"&amp;MOD(ROW()-8,14)&amp;"-"&amp;VersaPro!B$47&amp;" = *W-*A-*S-*C-"&amp;VersaPro!B57&amp;" #")</f>
        <v/>
      </c>
      <c r="C57" s="1" t="str">
        <f>IF(LEN(VersaPro!C57)=0,"",CHAR(10)&amp;"key *W-*A-*S-*C-m"&amp;MOD(ROW()-8,14)&amp;"-"&amp;VersaPro!C$47&amp;" = *W-*A-*S-*C-"&amp;VersaPro!C57&amp;" #")</f>
        <v/>
      </c>
      <c r="D57" s="1" t="str">
        <f>IF(LEN(VersaPro!D57)=0,"",CHAR(10)&amp;"key *W-*A-*S-*C-m"&amp;MOD(ROW()-8,14)&amp;"-"&amp;VersaPro!D$47&amp;" = *W-*A-*S-*C-"&amp;VersaPro!D57&amp;" #")</f>
        <v xml:space="preserve">
key *W-*A-*S-*C-m7-Semicolon = *W-*A-*S-*C-＠ #</v>
      </c>
      <c r="E57" s="1" t="str">
        <f>IF(LEN(VersaPro!E57)=0,"",CHAR(10)&amp;"key *W-*A-*S-*C-m"&amp;MOD(ROW()-8,14)&amp;"-"&amp;VersaPro!E$47&amp;" = *W-*A-*S-*C-"&amp;VersaPro!E57&amp;" #")</f>
        <v xml:space="preserve">
key *W-*A-*S-*C-m7-Q = *W-*A-*S-*C-＠ #</v>
      </c>
      <c r="F57" s="1" t="str">
        <f>IF(LEN(VersaPro!F57)=0,"",CHAR(10)&amp;"key *W-*A-*S-*C-m"&amp;MOD(ROW()-8,14)&amp;"-"&amp;VersaPro!F$47&amp;" = *W-*A-*S-*C-"&amp;VersaPro!F57&amp;" #")</f>
        <v xml:space="preserve">
key *W-*A-*S-*C-m7-J = *W-*A-*S-*C-＠ #</v>
      </c>
      <c r="G57" s="1" t="str">
        <f>IF(LEN(VersaPro!G57)=0,"",CHAR(10)&amp;"key *W-*A-*S-*C-m"&amp;MOD(ROW()-8,14)&amp;"-"&amp;VersaPro!G$47&amp;" = *W-*A-*S-*C-"&amp;VersaPro!G57&amp;" #")</f>
        <v xml:space="preserve">
key *W-*A-*S-*C-m7-K = *W-*A-*S-*C-＠ #</v>
      </c>
      <c r="H57" s="1" t="str">
        <f>IF(LEN(VersaPro!H57)=0,"",CHAR(10)&amp;"key *W-*A-*S-*C-m"&amp;MOD(ROW()-8,14)&amp;"-"&amp;VersaPro!H$47&amp;" = *W-*A-*S-*C-"&amp;VersaPro!H57&amp;" #")</f>
        <v xml:space="preserve">
key *W-*A-*S-*C-m7-X = *W-*A-*S-*C-＠ #</v>
      </c>
      <c r="I57" s="1" t="str">
        <f>IF(LEN(VersaPro!I57)=0,"",CHAR(10)&amp;"key *W-*A-*S-*C-m"&amp;MOD(ROW()-8,14)&amp;"-"&amp;VersaPro!I$47&amp;" = *W-*A-*S-*C-"&amp;VersaPro!I57&amp;" #")</f>
        <v/>
      </c>
      <c r="J57" s="1" t="str">
        <f>IF(LEN(VersaPro!J57)=0,"",CHAR(10)&amp;"key *W-*A-*S-*C-m"&amp;MOD(ROW()-8,14)&amp;"-"&amp;VersaPro!J$47&amp;" = *W-*A-*S-*C-"&amp;VersaPro!J57&amp;" #")</f>
        <v/>
      </c>
      <c r="K57" s="1" t="str">
        <f>IF(LEN(VersaPro!K57)=0,"",CHAR(10)&amp;"key *W-*A-*S-*C-m"&amp;MOD(ROW()-8,14)&amp;"-"&amp;VersaPro!K$47&amp;" = *W-*A-*S-*C-"&amp;VersaPro!K57&amp;" #")</f>
        <v/>
      </c>
      <c r="L57" s="1" t="str">
        <f>IF(LEN(VersaPro!L57)=0,"",CHAR(10)&amp;"key *W-*A-*S-*C-m"&amp;MOD(ROW()-8,14)&amp;"-"&amp;VersaPro!L$47&amp;" = *W-*A-*S-*C-"&amp;VersaPro!L57&amp;" #")</f>
        <v/>
      </c>
      <c r="M57" s="1" t="str">
        <f>IF(LEN(VersaPro!M57)=0,"",CHAR(10)&amp;"key *W-*A-*S-*C-m"&amp;MOD(ROW()-8,14)&amp;"-"&amp;VersaPro!M$47&amp;" = *W-*A-*S-*C-"&amp;VersaPro!M57&amp;" #")</f>
        <v/>
      </c>
      <c r="N57" s="1" t="str">
        <f>IF(LEN(VersaPro!N57)=0,"",CHAR(10)&amp;"key *W-*A-*S-*C-m"&amp;MOD(ROW()-8,14)&amp;"-"&amp;VersaPro!N$47&amp;" = *W-*A-*S-*C-"&amp;VersaPro!N57&amp;" #")</f>
        <v/>
      </c>
      <c r="O57" s="1" t="str">
        <f>IF(LEN(VersaPro!O57)=0,"",CHAR(10)&amp;"key *W-*A-*S-*C-m"&amp;MOD(ROW()-8,14)&amp;"-"&amp;VersaPro!O$47&amp;" = *W-*A-*S-*C-"&amp;VersaPro!O57&amp;" #")</f>
        <v/>
      </c>
      <c r="P57" s="1" t="str">
        <f>IF(LEN(VersaPro!P57)=0,"",CHAR(10)&amp;"key *W-*A-*S-*C-m"&amp;MOD(ROW()-8,14)&amp;"-"&amp;VersaPro!P$47&amp;" = *W-*A-*S-*C-"&amp;VersaPro!P57&amp;" #")</f>
        <v/>
      </c>
      <c r="Q57" s="1" t="str">
        <f>IF(LEN(VersaPro!Q57)=0,"",CHAR(10)&amp;"key *W-*A-*S-*C-m"&amp;MOD(ROW()-8,14)&amp;"-"&amp;VersaPro!Q$47&amp;" = *W-*A-*S-*C-"&amp;VersaPro!Q57&amp;" #")</f>
        <v/>
      </c>
      <c r="R57" s="1" t="str">
        <f>IF(LEN(VersaPro!R57)=0,"",CHAR(10)&amp;"key *W-*A-*S-*C-m"&amp;MOD(ROW()-8,14)&amp;"-"&amp;VersaPro!R$47&amp;" = *W-*A-*S-*C-"&amp;VersaPro!R57&amp;" #")</f>
        <v/>
      </c>
    </row>
    <row r="58" spans="1:18" x14ac:dyDescent="0.7">
      <c r="A58" s="1" t="str">
        <f t="shared" si="3"/>
        <v># mod8</v>
      </c>
      <c r="B58" s="1" t="str">
        <f>IF(LEN(VersaPro!B58)=0,"",CHAR(10)&amp;"key *W-*A-*S-*C-m"&amp;MOD(ROW()-8,14)&amp;"-"&amp;VersaPro!B$47&amp;" = *W-*A-*S-*C-"&amp;VersaPro!B58&amp;" #")</f>
        <v/>
      </c>
      <c r="C58" s="1" t="str">
        <f>IF(LEN(VersaPro!C58)=0,"",CHAR(10)&amp;"key *W-*A-*S-*C-m"&amp;MOD(ROW()-8,14)&amp;"-"&amp;VersaPro!C$47&amp;" = *W-*A-*S-*C-"&amp;VersaPro!C58&amp;" #")</f>
        <v/>
      </c>
      <c r="D58" s="1" t="str">
        <f>IF(LEN(VersaPro!D58)=0,"",CHAR(10)&amp;"key *W-*A-*S-*C-m"&amp;MOD(ROW()-8,14)&amp;"-"&amp;VersaPro!D$47&amp;" = *W-*A-*S-*C-"&amp;VersaPro!D58&amp;" #")</f>
        <v xml:space="preserve">
key *W-*A-*S-*C-m8-Semicolon = *W-*A-*S-*C-A-← #</v>
      </c>
      <c r="E58" s="1" t="str">
        <f>IF(LEN(VersaPro!E58)=0,"",CHAR(10)&amp;"key *W-*A-*S-*C-m"&amp;MOD(ROW()-8,14)&amp;"-"&amp;VersaPro!E$47&amp;" = *W-*A-*S-*C-"&amp;VersaPro!E58&amp;" #")</f>
        <v xml:space="preserve">
key *W-*A-*S-*C-m8-Q = *W-*A-*S-*C-A-→ #</v>
      </c>
      <c r="F58" s="1" t="str">
        <f>IF(LEN(VersaPro!F58)=0,"",CHAR(10)&amp;"key *W-*A-*S-*C-m"&amp;MOD(ROW()-8,14)&amp;"-"&amp;VersaPro!F$47&amp;" = *W-*A-*S-*C-"&amp;VersaPro!F58&amp;" #")</f>
        <v xml:space="preserve">
key *W-*A-*S-*C-m8-J = *W-*A-*S-*C-A-↓ #</v>
      </c>
      <c r="G58" s="1" t="str">
        <f>IF(LEN(VersaPro!G58)=0,"",CHAR(10)&amp;"key *W-*A-*S-*C-m"&amp;MOD(ROW()-8,14)&amp;"-"&amp;VersaPro!G$47&amp;" = *W-*A-*S-*C-"&amp;VersaPro!G58&amp;" #")</f>
        <v xml:space="preserve">
key *W-*A-*S-*C-m8-K = *W-*A-*S-*C-A-↑ #</v>
      </c>
      <c r="H58" s="1" t="str">
        <f>IF(LEN(VersaPro!H58)=0,"",CHAR(10)&amp;"key *W-*A-*S-*C-m"&amp;MOD(ROW()-8,14)&amp;"-"&amp;VersaPro!H$47&amp;" = *W-*A-*S-*C-"&amp;VersaPro!H58&amp;" #")</f>
        <v/>
      </c>
      <c r="I58" s="1" t="str">
        <f>IF(LEN(VersaPro!I58)=0,"",CHAR(10)&amp;"key *W-*A-*S-*C-m"&amp;MOD(ROW()-8,14)&amp;"-"&amp;VersaPro!I$47&amp;" = *W-*A-*S-*C-"&amp;VersaPro!I58&amp;" #")</f>
        <v/>
      </c>
      <c r="J58" s="1" t="str">
        <f>IF(LEN(VersaPro!J58)=0,"",CHAR(10)&amp;"key *W-*A-*S-*C-m"&amp;MOD(ROW()-8,14)&amp;"-"&amp;VersaPro!J$47&amp;" = *W-*A-*S-*C-"&amp;VersaPro!J58&amp;" #")</f>
        <v/>
      </c>
      <c r="K58" s="1" t="str">
        <f>IF(LEN(VersaPro!K58)=0,"",CHAR(10)&amp;"key *W-*A-*S-*C-m"&amp;MOD(ROW()-8,14)&amp;"-"&amp;VersaPro!K$47&amp;" = *W-*A-*S-*C-"&amp;VersaPro!K58&amp;" #")</f>
        <v/>
      </c>
      <c r="L58" s="1" t="str">
        <f>IF(LEN(VersaPro!L58)=0,"",CHAR(10)&amp;"key *W-*A-*S-*C-m"&amp;MOD(ROW()-8,14)&amp;"-"&amp;VersaPro!L$47&amp;" = *W-*A-*S-*C-"&amp;VersaPro!L58&amp;" #")</f>
        <v/>
      </c>
      <c r="M58" s="1" t="str">
        <f>IF(LEN(VersaPro!M58)=0,"",CHAR(10)&amp;"key *W-*A-*S-*C-m"&amp;MOD(ROW()-8,14)&amp;"-"&amp;VersaPro!M$47&amp;" = *W-*A-*S-*C-"&amp;VersaPro!M58&amp;" #")</f>
        <v/>
      </c>
      <c r="N58" s="1" t="str">
        <f>IF(LEN(VersaPro!N58)=0,"",CHAR(10)&amp;"key *W-*A-*S-*C-m"&amp;MOD(ROW()-8,14)&amp;"-"&amp;VersaPro!N$47&amp;" = *W-*A-*S-*C-"&amp;VersaPro!N58&amp;" #")</f>
        <v/>
      </c>
      <c r="O58" s="1" t="str">
        <f>IF(LEN(VersaPro!O58)=0,"",CHAR(10)&amp;"key *W-*A-*S-*C-m"&amp;MOD(ROW()-8,14)&amp;"-"&amp;VersaPro!O$47&amp;" = *W-*A-*S-*C-"&amp;VersaPro!O58&amp;" #")</f>
        <v/>
      </c>
      <c r="P58" s="1" t="str">
        <f>IF(LEN(VersaPro!P58)=0,"",CHAR(10)&amp;"key *W-*A-*S-*C-m"&amp;MOD(ROW()-8,14)&amp;"-"&amp;VersaPro!P$47&amp;" = *W-*A-*S-*C-"&amp;VersaPro!P58&amp;" #")</f>
        <v/>
      </c>
      <c r="Q58" s="1" t="str">
        <f>IF(LEN(VersaPro!Q58)=0,"",CHAR(10)&amp;"key *W-*A-*S-*C-m"&amp;MOD(ROW()-8,14)&amp;"-"&amp;VersaPro!Q$47&amp;" = *W-*A-*S-*C-"&amp;VersaPro!Q58&amp;" #")</f>
        <v/>
      </c>
      <c r="R58" s="1" t="str">
        <f>IF(LEN(VersaPro!R58)=0,"",CHAR(10)&amp;"key *W-*A-*S-*C-m"&amp;MOD(ROW()-8,14)&amp;"-"&amp;VersaPro!R$47&amp;" = *W-*A-*S-*C-"&amp;VersaPro!R58&amp;" #")</f>
        <v/>
      </c>
    </row>
    <row r="59" spans="1:18" x14ac:dyDescent="0.7">
      <c r="A59" s="1" t="str">
        <f t="shared" si="3"/>
        <v># mod9</v>
      </c>
      <c r="B59" s="1" t="str">
        <f>IF(LEN(VersaPro!B59)=0,"",CHAR(10)&amp;"key *W-*A-*S-*C-m"&amp;MOD(ROW()-8,14)&amp;"-"&amp;VersaPro!B$47&amp;" = *W-*A-*S-*C-"&amp;VersaPro!B59&amp;" #")</f>
        <v/>
      </c>
      <c r="C59" s="1" t="str">
        <f>IF(LEN(VersaPro!C59)=0,"",CHAR(10)&amp;"key *W-*A-*S-*C-m"&amp;MOD(ROW()-8,14)&amp;"-"&amp;VersaPro!C$47&amp;" = *W-*A-*S-*C-"&amp;VersaPro!C59&amp;" #")</f>
        <v/>
      </c>
      <c r="D59" s="1" t="str">
        <f>IF(LEN(VersaPro!D59)=0,"",CHAR(10)&amp;"key *W-*A-*S-*C-m"&amp;MOD(ROW()-8,14)&amp;"-"&amp;VersaPro!D$47&amp;" = *W-*A-*S-*C-"&amp;VersaPro!D59&amp;" #")</f>
        <v xml:space="preserve">
key *W-*A-*S-*C-m9-Semicolon = *W-*A-*S-*C-A-C-← #</v>
      </c>
      <c r="E59" s="1" t="str">
        <f>IF(LEN(VersaPro!E59)=0,"",CHAR(10)&amp;"key *W-*A-*S-*C-m"&amp;MOD(ROW()-8,14)&amp;"-"&amp;VersaPro!E$47&amp;" = *W-*A-*S-*C-"&amp;VersaPro!E59&amp;" #")</f>
        <v xml:space="preserve">
key *W-*A-*S-*C-m9-Q = *W-*A-*S-*C-A-C-→ #</v>
      </c>
      <c r="F59" s="1" t="str">
        <f>IF(LEN(VersaPro!F59)=0,"",CHAR(10)&amp;"key *W-*A-*S-*C-m"&amp;MOD(ROW()-8,14)&amp;"-"&amp;VersaPro!F$47&amp;" = *W-*A-*S-*C-"&amp;VersaPro!F59&amp;" #")</f>
        <v xml:space="preserve">
key *W-*A-*S-*C-m9-J = *W-*A-*S-*C-A-C-↓ #</v>
      </c>
      <c r="G59" s="1" t="str">
        <f>IF(LEN(VersaPro!G59)=0,"",CHAR(10)&amp;"key *W-*A-*S-*C-m"&amp;MOD(ROW()-8,14)&amp;"-"&amp;VersaPro!G$47&amp;" = *W-*A-*S-*C-"&amp;VersaPro!G59&amp;" #")</f>
        <v xml:space="preserve">
key *W-*A-*S-*C-m9-K = *W-*A-*S-*C-A-C-↑ #</v>
      </c>
      <c r="H59" s="1" t="str">
        <f>IF(LEN(VersaPro!H59)=0,"",CHAR(10)&amp;"key *W-*A-*S-*C-m"&amp;MOD(ROW()-8,14)&amp;"-"&amp;VersaPro!H$47&amp;" = *W-*A-*S-*C-"&amp;VersaPro!H59&amp;" #")</f>
        <v xml:space="preserve">
key *W-*A-*S-*C-m9-X = *W-*A-*S-*C-＠ #</v>
      </c>
      <c r="I59" s="1" t="str">
        <f>IF(LEN(VersaPro!I59)=0,"",CHAR(10)&amp;"key *W-*A-*S-*C-m"&amp;MOD(ROW()-8,14)&amp;"-"&amp;VersaPro!I$47&amp;" = *W-*A-*S-*C-"&amp;VersaPro!I59&amp;" #")</f>
        <v/>
      </c>
      <c r="J59" s="1" t="str">
        <f>IF(LEN(VersaPro!J59)=0,"",CHAR(10)&amp;"key *W-*A-*S-*C-m"&amp;MOD(ROW()-8,14)&amp;"-"&amp;VersaPro!J$47&amp;" = *W-*A-*S-*C-"&amp;VersaPro!J59&amp;" #")</f>
        <v/>
      </c>
      <c r="K59" s="1" t="str">
        <f>IF(LEN(VersaPro!K59)=0,"",CHAR(10)&amp;"key *W-*A-*S-*C-m"&amp;MOD(ROW()-8,14)&amp;"-"&amp;VersaPro!K$47&amp;" = *W-*A-*S-*C-"&amp;VersaPro!K59&amp;" #")</f>
        <v/>
      </c>
      <c r="L59" s="1" t="str">
        <f>IF(LEN(VersaPro!L59)=0,"",CHAR(10)&amp;"key *W-*A-*S-*C-m"&amp;MOD(ROW()-8,14)&amp;"-"&amp;VersaPro!L$47&amp;" = *W-*A-*S-*C-"&amp;VersaPro!L59&amp;" #")</f>
        <v/>
      </c>
      <c r="M59" s="1" t="str">
        <f>IF(LEN(VersaPro!M59)=0,"",CHAR(10)&amp;"key *W-*A-*S-*C-m"&amp;MOD(ROW()-8,14)&amp;"-"&amp;VersaPro!M$47&amp;" = *W-*A-*S-*C-"&amp;VersaPro!M59&amp;" #")</f>
        <v/>
      </c>
      <c r="N59" s="1" t="str">
        <f>IF(LEN(VersaPro!N59)=0,"",CHAR(10)&amp;"key *W-*A-*S-*C-m"&amp;MOD(ROW()-8,14)&amp;"-"&amp;VersaPro!N$47&amp;" = *W-*A-*S-*C-"&amp;VersaPro!N59&amp;" #")</f>
        <v/>
      </c>
      <c r="O59" s="1" t="str">
        <f>IF(LEN(VersaPro!O59)=0,"",CHAR(10)&amp;"key *W-*A-*S-*C-m"&amp;MOD(ROW()-8,14)&amp;"-"&amp;VersaPro!O$47&amp;" = *W-*A-*S-*C-"&amp;VersaPro!O59&amp;" #")</f>
        <v/>
      </c>
      <c r="P59" s="1" t="str">
        <f>IF(LEN(VersaPro!P59)=0,"",CHAR(10)&amp;"key *W-*A-*S-*C-m"&amp;MOD(ROW()-8,14)&amp;"-"&amp;VersaPro!P$47&amp;" = *W-*A-*S-*C-"&amp;VersaPro!P59&amp;" #")</f>
        <v/>
      </c>
      <c r="Q59" s="1" t="str">
        <f>IF(LEN(VersaPro!Q59)=0,"",CHAR(10)&amp;"key *W-*A-*S-*C-m"&amp;MOD(ROW()-8,14)&amp;"-"&amp;VersaPro!Q$47&amp;" = *W-*A-*S-*C-"&amp;VersaPro!Q59&amp;" #")</f>
        <v/>
      </c>
      <c r="R59" s="1" t="str">
        <f>IF(LEN(VersaPro!R59)=0,"",CHAR(10)&amp;"key *W-*A-*S-*C-m"&amp;MOD(ROW()-8,14)&amp;"-"&amp;VersaPro!R$47&amp;" = *W-*A-*S-*C-"&amp;VersaPro!R59&amp;" #")</f>
        <v/>
      </c>
    </row>
    <row r="60" spans="1:18" x14ac:dyDescent="0.7">
      <c r="A60" s="1" t="s">
        <v>153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7">
      <c r="A61" s="1" t="s">
        <v>153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7">
      <c r="A62" s="1" t="s">
        <v>230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7">
      <c r="A63" s="1" t="s">
        <v>154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7">
      <c r="A64" s="1" t="str">
        <f t="shared" ref="A64:A73" si="4" xml:space="preserve"> "# mod"&amp;MOD(ROW()-8,14)</f>
        <v># mod0</v>
      </c>
      <c r="B64" s="1" t="str">
        <f>IF(LEN(VersaPro!B64)=0,"",CHAR(10)&amp;"key *W-*A-*S-*C-m"&amp;MOD(ROW()-8,14)&amp;"-"&amp;VersaPro!B$61&amp;" = *W-*A-*S-*C-"&amp;VersaPro!B64&amp;" #")</f>
        <v/>
      </c>
      <c r="C64" s="1" t="str">
        <f>IF(LEN(VersaPro!C64)=0,"",CHAR(10)&amp;"key *W-*A-*S-*C-m"&amp;MOD(ROW()-8,14)&amp;"-"&amp;VersaPro!C$61&amp;" = *W-*A-*S-*C-"&amp;VersaPro!C64&amp;" #")</f>
        <v/>
      </c>
      <c r="D64" s="1" t="str">
        <f>IF(LEN(VersaPro!D64)=0,"",CHAR(10)&amp;"key *W-*A-*S-*C-m"&amp;MOD(ROW()-8,14)&amp;"-"&amp;VersaPro!D$61&amp;" = *W-*A-*S-*C-"&amp;VersaPro!D64&amp;" #")</f>
        <v/>
      </c>
      <c r="E64" s="1" t="str">
        <f>IF(LEN(VersaPro!E64)=0,"",CHAR(10)&amp;"key *W-*A-*S-*C-m"&amp;MOD(ROW()-8,14)&amp;"-"&amp;VersaPro!E$61&amp;" = *W-*A-*S-*C-"&amp;VersaPro!E64&amp;" #")</f>
        <v/>
      </c>
      <c r="F64" s="1" t="str">
        <f>IF(LEN(VersaPro!F64)=0,"",CHAR(10)&amp;"key *W-*A-*S-*C-m"&amp;MOD(ROW()-8,14)&amp;"-"&amp;VersaPro!F$61&amp;" = *W-*A-*S-*C-"&amp;VersaPro!F64&amp;" #")</f>
        <v/>
      </c>
      <c r="G64" s="1" t="str">
        <f>IF(LEN(VersaPro!G64)=0,"",CHAR(10)&amp;"key *W-*A-*S-*C-m"&amp;MOD(ROW()-8,14)&amp;"-"&amp;VersaPro!G$61&amp;" = *W-*A-*S-*C-"&amp;VersaPro!G64&amp;" #")</f>
        <v/>
      </c>
      <c r="H64" s="1" t="str">
        <f>IF(LEN(VersaPro!H64)=0,"",CHAR(10)&amp;"key *W-*A-*S-*C-m"&amp;MOD(ROW()-8,14)&amp;"-"&amp;VersaPro!H$61&amp;" = *W-*A-*S-*C-"&amp;VersaPro!H64&amp;" #")</f>
        <v/>
      </c>
      <c r="I64" s="1" t="str">
        <f>IF(LEN(VersaPro!I64)=0,"",CHAR(10)&amp;"key *W-*A-*S-*C-m"&amp;MOD(ROW()-8,14)&amp;"-"&amp;VersaPro!I$61&amp;" = *W-*A-*S-*C-"&amp;VersaPro!I64&amp;" #")</f>
        <v/>
      </c>
      <c r="J64" s="1" t="str">
        <f>IF(LEN(VersaPro!J64)=0,"",CHAR(10)&amp;"key *W-*A-*S-*C-m"&amp;MOD(ROW()-8,14)&amp;"-"&amp;VersaPro!J$61&amp;" = *W-*A-*S-*C-"&amp;VersaPro!J64&amp;" #")</f>
        <v/>
      </c>
      <c r="K64" s="1" t="str">
        <f>IF(LEN(VersaPro!K64)=0,"",CHAR(10)&amp;"key *W-*A-*S-*C-m"&amp;MOD(ROW()-8,14)&amp;"-"&amp;VersaPro!K$61&amp;" = *W-*A-*S-*C-"&amp;VersaPro!K64&amp;" #")</f>
        <v/>
      </c>
      <c r="L64" s="1" t="str">
        <f>IF(LEN(VersaPro!L64)=0,"",CHAR(10)&amp;"key *W-*A-*S-*C-m"&amp;MOD(ROW()-8,14)&amp;"-"&amp;VersaPro!L$61&amp;" = *W-*A-*S-*C-"&amp;VersaPro!L64&amp;" #")</f>
        <v/>
      </c>
      <c r="M64" s="1" t="str">
        <f>IF(LEN(VersaPro!M64)=0,"",CHAR(10)&amp;"key *W-*A-*S-*C-m"&amp;MOD(ROW()-8,14)&amp;"-"&amp;VersaPro!M$61&amp;" = *W-*A-*S-*C-"&amp;VersaPro!M64&amp;" #")</f>
        <v/>
      </c>
      <c r="N64" s="1" t="str">
        <f>IF(LEN(VersaPro!N64)=0,"",CHAR(10)&amp;"key *W-*A-*S-*C-m"&amp;MOD(ROW()-8,14)&amp;"-"&amp;VersaPro!N$61&amp;" = *W-*A-*S-*C-"&amp;VersaPro!N64&amp;" #")</f>
        <v/>
      </c>
      <c r="O64" s="1" t="str">
        <f>IF(LEN(VersaPro!O64)=0,"",CHAR(10)&amp;"key *W-*A-*S-*C-m"&amp;MOD(ROW()-8,14)&amp;"-"&amp;VersaPro!O$61&amp;" = *W-*A-*S-*C-"&amp;VersaPro!O64&amp;" #")</f>
        <v/>
      </c>
      <c r="P64" s="1" t="str">
        <f>IF(LEN(VersaPro!P64)=0,"",CHAR(10)&amp;"key *W-*A-*S-*C-m"&amp;MOD(ROW()-8,14)&amp;"-"&amp;VersaPro!P$61&amp;" = *W-*A-*S-*C-"&amp;VersaPro!P64&amp;" #")</f>
        <v/>
      </c>
      <c r="Q64" s="1" t="str">
        <f>IF(LEN(VersaPro!Q64)=0,"",CHAR(10)&amp;"key *W-*A-*S-*C-m"&amp;MOD(ROW()-8,14)&amp;"-"&amp;VersaPro!Q$61&amp;" = *W-*A-*S-*C-"&amp;VersaPro!Q64&amp;" #")</f>
        <v/>
      </c>
      <c r="R64" s="1" t="str">
        <f>IF(LEN(VersaPro!R64)=0,"",CHAR(10)&amp;"key *W-*A-*S-*C-m"&amp;MOD(ROW()-8,14)&amp;"-"&amp;VersaPro!R$61&amp;" = *W-*A-*S-*C-"&amp;VersaPro!R64&amp;" #")</f>
        <v/>
      </c>
    </row>
    <row r="65" spans="1:18" x14ac:dyDescent="0.7">
      <c r="A65" s="1" t="str">
        <f t="shared" si="4"/>
        <v># mod1</v>
      </c>
      <c r="B65" s="1" t="str">
        <f>IF(LEN(VersaPro!B65)=0,"",CHAR(10)&amp;"key *W-*A-*S-*C-m"&amp;MOD(ROW()-8,14)&amp;"-"&amp;VersaPro!B$61&amp;" = *W-*A-*S-*C-"&amp;VersaPro!B65&amp;" #")</f>
        <v/>
      </c>
      <c r="C65" s="1" t="str">
        <f>IF(LEN(VersaPro!C65)=0,"",CHAR(10)&amp;"key *W-*A-*S-*C-m"&amp;MOD(ROW()-8,14)&amp;"-"&amp;VersaPro!C$61&amp;" = *W-*A-*S-*C-"&amp;VersaPro!C65&amp;" #")</f>
        <v/>
      </c>
      <c r="D65" s="1" t="str">
        <f>IF(LEN(VersaPro!D65)=0,"",CHAR(10)&amp;"key *W-*A-*S-*C-m"&amp;MOD(ROW()-8,14)&amp;"-"&amp;VersaPro!D$61&amp;" = *W-*A-*S-*C-"&amp;VersaPro!D65&amp;" #")</f>
        <v/>
      </c>
      <c r="E65" s="1" t="str">
        <f>IF(LEN(VersaPro!E65)=0,"",CHAR(10)&amp;"key *W-*A-*S-*C-m"&amp;MOD(ROW()-8,14)&amp;"-"&amp;VersaPro!E$61&amp;" = *W-*A-*S-*C-"&amp;VersaPro!E65&amp;" #")</f>
        <v/>
      </c>
      <c r="F65" s="1" t="str">
        <f>IF(LEN(VersaPro!F65)=0,"",CHAR(10)&amp;"key *W-*A-*S-*C-m"&amp;MOD(ROW()-8,14)&amp;"-"&amp;VersaPro!F$61&amp;" = *W-*A-*S-*C-"&amp;VersaPro!F65&amp;" #")</f>
        <v/>
      </c>
      <c r="G65" s="1" t="str">
        <f>IF(LEN(VersaPro!G65)=0,"",CHAR(10)&amp;"key *W-*A-*S-*C-m"&amp;MOD(ROW()-8,14)&amp;"-"&amp;VersaPro!G$61&amp;" = *W-*A-*S-*C-"&amp;VersaPro!G65&amp;" #")</f>
        <v/>
      </c>
      <c r="H65" s="1" t="str">
        <f>IF(LEN(VersaPro!H65)=0,"",CHAR(10)&amp;"key *W-*A-*S-*C-m"&amp;MOD(ROW()-8,14)&amp;"-"&amp;VersaPro!H$61&amp;" = *W-*A-*S-*C-"&amp;VersaPro!H65&amp;" #")</f>
        <v/>
      </c>
      <c r="I65" s="1" t="str">
        <f>IF(LEN(VersaPro!I65)=0,"",CHAR(10)&amp;"key *W-*A-*S-*C-m"&amp;MOD(ROW()-8,14)&amp;"-"&amp;VersaPro!I$61&amp;" = *W-*A-*S-*C-"&amp;VersaPro!I65&amp;" #")</f>
        <v/>
      </c>
      <c r="J65" s="1" t="str">
        <f>IF(LEN(VersaPro!J65)=0,"",CHAR(10)&amp;"key *W-*A-*S-*C-m"&amp;MOD(ROW()-8,14)&amp;"-"&amp;VersaPro!J$61&amp;" = *W-*A-*S-*C-"&amp;VersaPro!J65&amp;" #")</f>
        <v/>
      </c>
      <c r="K65" s="1" t="str">
        <f>IF(LEN(VersaPro!K65)=0,"",CHAR(10)&amp;"key *W-*A-*S-*C-m"&amp;MOD(ROW()-8,14)&amp;"-"&amp;VersaPro!K$61&amp;" = *W-*A-*S-*C-"&amp;VersaPro!K65&amp;" #")</f>
        <v/>
      </c>
      <c r="L65" s="1" t="str">
        <f>IF(LEN(VersaPro!L65)=0,"",CHAR(10)&amp;"key *W-*A-*S-*C-m"&amp;MOD(ROW()-8,14)&amp;"-"&amp;VersaPro!L$61&amp;" = *W-*A-*S-*C-"&amp;VersaPro!L65&amp;" #")</f>
        <v/>
      </c>
      <c r="M65" s="1" t="str">
        <f>IF(LEN(VersaPro!M65)=0,"",CHAR(10)&amp;"key *W-*A-*S-*C-m"&amp;MOD(ROW()-8,14)&amp;"-"&amp;VersaPro!M$61&amp;" = *W-*A-*S-*C-"&amp;VersaPro!M65&amp;" #")</f>
        <v/>
      </c>
      <c r="N65" s="1" t="str">
        <f>IF(LEN(VersaPro!N65)=0,"",CHAR(10)&amp;"key *W-*A-*S-*C-m"&amp;MOD(ROW()-8,14)&amp;"-"&amp;VersaPro!N$61&amp;" = *W-*A-*S-*C-"&amp;VersaPro!N65&amp;" #")</f>
        <v/>
      </c>
      <c r="O65" s="1" t="str">
        <f>IF(LEN(VersaPro!O65)=0,"",CHAR(10)&amp;"key *W-*A-*S-*C-m"&amp;MOD(ROW()-8,14)&amp;"-"&amp;VersaPro!O$61&amp;" = *W-*A-*S-*C-"&amp;VersaPro!O65&amp;" #")</f>
        <v/>
      </c>
      <c r="P65" s="1" t="str">
        <f>IF(LEN(VersaPro!P65)=0,"",CHAR(10)&amp;"key *W-*A-*S-*C-m"&amp;MOD(ROW()-8,14)&amp;"-"&amp;VersaPro!P$61&amp;" = *W-*A-*S-*C-"&amp;VersaPro!P65&amp;" #")</f>
        <v/>
      </c>
      <c r="Q65" s="1" t="str">
        <f>IF(LEN(VersaPro!Q65)=0,"",CHAR(10)&amp;"key *W-*A-*S-*C-m"&amp;MOD(ROW()-8,14)&amp;"-"&amp;VersaPro!Q$61&amp;" = *W-*A-*S-*C-"&amp;VersaPro!Q65&amp;" #")</f>
        <v/>
      </c>
      <c r="R65" s="1" t="str">
        <f>IF(LEN(VersaPro!R65)=0,"",CHAR(10)&amp;"key *W-*A-*S-*C-m"&amp;MOD(ROW()-8,14)&amp;"-"&amp;VersaPro!R$61&amp;" = *W-*A-*S-*C-"&amp;VersaPro!R65&amp;" #")</f>
        <v/>
      </c>
    </row>
    <row r="66" spans="1:18" x14ac:dyDescent="0.7">
      <c r="A66" s="1" t="str">
        <f t="shared" si="4"/>
        <v># mod2</v>
      </c>
      <c r="B66" s="1" t="str">
        <f>IF(LEN(VersaPro!B66)=0,"",CHAR(10)&amp;"key *W-*A-*S-*C-m"&amp;MOD(ROW()-8,14)&amp;"-"&amp;VersaPro!B$61&amp;" = *W-*A-*S-*C-"&amp;VersaPro!B66&amp;" #")</f>
        <v/>
      </c>
      <c r="C66" s="1" t="str">
        <f>IF(LEN(VersaPro!C66)=0,"",CHAR(10)&amp;"key *W-*A-*S-*C-m"&amp;MOD(ROW()-8,14)&amp;"-"&amp;VersaPro!C$61&amp;" = *W-*A-*S-*C-"&amp;VersaPro!C66&amp;" #")</f>
        <v/>
      </c>
      <c r="D66" s="1" t="str">
        <f>IF(LEN(VersaPro!D66)=0,"",CHAR(10)&amp;"key *W-*A-*S-*C-m"&amp;MOD(ROW()-8,14)&amp;"-"&amp;VersaPro!D$61&amp;" = *W-*A-*S-*C-"&amp;VersaPro!D66&amp;" #")</f>
        <v/>
      </c>
      <c r="E66" s="1" t="str">
        <f>IF(LEN(VersaPro!E66)=0,"",CHAR(10)&amp;"key *W-*A-*S-*C-m"&amp;MOD(ROW()-8,14)&amp;"-"&amp;VersaPro!E$61&amp;" = *W-*A-*S-*C-"&amp;VersaPro!E66&amp;" #")</f>
        <v/>
      </c>
      <c r="F66" s="1" t="str">
        <f>IF(LEN(VersaPro!F66)=0,"",CHAR(10)&amp;"key *W-*A-*S-*C-m"&amp;MOD(ROW()-8,14)&amp;"-"&amp;VersaPro!F$61&amp;" = *W-*A-*S-*C-"&amp;VersaPro!F66&amp;" #")</f>
        <v/>
      </c>
      <c r="G66" s="1" t="str">
        <f>IF(LEN(VersaPro!G66)=0,"",CHAR(10)&amp;"key *W-*A-*S-*C-m"&amp;MOD(ROW()-8,14)&amp;"-"&amp;VersaPro!G$61&amp;" = *W-*A-*S-*C-"&amp;VersaPro!G66&amp;" #")</f>
        <v/>
      </c>
      <c r="H66" s="1" t="str">
        <f>IF(LEN(VersaPro!H66)=0,"",CHAR(10)&amp;"key *W-*A-*S-*C-m"&amp;MOD(ROW()-8,14)&amp;"-"&amp;VersaPro!H$61&amp;" = *W-*A-*S-*C-"&amp;VersaPro!H66&amp;" #")</f>
        <v/>
      </c>
      <c r="I66" s="1" t="str">
        <f>IF(LEN(VersaPro!I66)=0,"",CHAR(10)&amp;"key *W-*A-*S-*C-m"&amp;MOD(ROW()-8,14)&amp;"-"&amp;VersaPro!I$61&amp;" = *W-*A-*S-*C-"&amp;VersaPro!I66&amp;" #")</f>
        <v/>
      </c>
      <c r="J66" s="1" t="str">
        <f>IF(LEN(VersaPro!J66)=0,"",CHAR(10)&amp;"key *W-*A-*S-*C-m"&amp;MOD(ROW()-8,14)&amp;"-"&amp;VersaPro!J$61&amp;" = *W-*A-*S-*C-"&amp;VersaPro!J66&amp;" #")</f>
        <v/>
      </c>
      <c r="K66" s="1" t="str">
        <f>IF(LEN(VersaPro!K66)=0,"",CHAR(10)&amp;"key *W-*A-*S-*C-m"&amp;MOD(ROW()-8,14)&amp;"-"&amp;VersaPro!K$61&amp;" = *W-*A-*S-*C-"&amp;VersaPro!K66&amp;" #")</f>
        <v/>
      </c>
      <c r="L66" s="1" t="str">
        <f>IF(LEN(VersaPro!L66)=0,"",CHAR(10)&amp;"key *W-*A-*S-*C-m"&amp;MOD(ROW()-8,14)&amp;"-"&amp;VersaPro!L$61&amp;" = *W-*A-*S-*C-"&amp;VersaPro!L66&amp;" #")</f>
        <v/>
      </c>
      <c r="M66" s="1" t="str">
        <f>IF(LEN(VersaPro!M66)=0,"",CHAR(10)&amp;"key *W-*A-*S-*C-m"&amp;MOD(ROW()-8,14)&amp;"-"&amp;VersaPro!M$61&amp;" = *W-*A-*S-*C-"&amp;VersaPro!M66&amp;" #")</f>
        <v/>
      </c>
      <c r="N66" s="1" t="str">
        <f>IF(LEN(VersaPro!N66)=0,"",CHAR(10)&amp;"key *W-*A-*S-*C-m"&amp;MOD(ROW()-8,14)&amp;"-"&amp;VersaPro!N$61&amp;" = *W-*A-*S-*C-"&amp;VersaPro!N66&amp;" #")</f>
        <v/>
      </c>
      <c r="O66" s="1" t="str">
        <f>IF(LEN(VersaPro!O66)=0,"",CHAR(10)&amp;"key *W-*A-*S-*C-m"&amp;MOD(ROW()-8,14)&amp;"-"&amp;VersaPro!O$61&amp;" = *W-*A-*S-*C-"&amp;VersaPro!O66&amp;" #")</f>
        <v/>
      </c>
      <c r="P66" s="1" t="str">
        <f>IF(LEN(VersaPro!P66)=0,"",CHAR(10)&amp;"key *W-*A-*S-*C-m"&amp;MOD(ROW()-8,14)&amp;"-"&amp;VersaPro!P$61&amp;" = *W-*A-*S-*C-"&amp;VersaPro!P66&amp;" #")</f>
        <v/>
      </c>
      <c r="Q66" s="1" t="str">
        <f>IF(LEN(VersaPro!Q66)=0,"",CHAR(10)&amp;"key *W-*A-*S-*C-m"&amp;MOD(ROW()-8,14)&amp;"-"&amp;VersaPro!Q$61&amp;" = *W-*A-*S-*C-"&amp;VersaPro!Q66&amp;" #")</f>
        <v/>
      </c>
      <c r="R66" s="1" t="str">
        <f>IF(LEN(VersaPro!R66)=0,"",CHAR(10)&amp;"key *W-*A-*S-*C-m"&amp;MOD(ROW()-8,14)&amp;"-"&amp;VersaPro!R$61&amp;" = *W-*A-*S-*C-"&amp;VersaPro!R66&amp;" #")</f>
        <v/>
      </c>
    </row>
    <row r="67" spans="1:18" x14ac:dyDescent="0.7">
      <c r="A67" s="1" t="str">
        <f t="shared" si="4"/>
        <v># mod3</v>
      </c>
      <c r="B67" s="1" t="str">
        <f>IF(LEN(VersaPro!B67)=0,"",CHAR(10)&amp;"key *W-*A-*S-*C-m"&amp;MOD(ROW()-8,14)&amp;"-"&amp;VersaPro!B$61&amp;" = *W-*A-*S-*C-"&amp;VersaPro!B67&amp;" #")</f>
        <v/>
      </c>
      <c r="C67" s="1" t="str">
        <f>IF(LEN(VersaPro!C67)=0,"",CHAR(10)&amp;"key *W-*A-*S-*C-m"&amp;MOD(ROW()-8,14)&amp;"-"&amp;VersaPro!C$61&amp;" = *W-*A-*S-*C-"&amp;VersaPro!C67&amp;" #")</f>
        <v/>
      </c>
      <c r="D67" s="1" t="str">
        <f>IF(LEN(VersaPro!D67)=0,"",CHAR(10)&amp;"key *W-*A-*S-*C-m"&amp;MOD(ROW()-8,14)&amp;"-"&amp;VersaPro!D$61&amp;" = *W-*A-*S-*C-"&amp;VersaPro!D67&amp;" #")</f>
        <v/>
      </c>
      <c r="E67" s="1" t="str">
        <f>IF(LEN(VersaPro!E67)=0,"",CHAR(10)&amp;"key *W-*A-*S-*C-m"&amp;MOD(ROW()-8,14)&amp;"-"&amp;VersaPro!E$61&amp;" = *W-*A-*S-*C-"&amp;VersaPro!E67&amp;" #")</f>
        <v/>
      </c>
      <c r="F67" s="1" t="str">
        <f>IF(LEN(VersaPro!F67)=0,"",CHAR(10)&amp;"key *W-*A-*S-*C-m"&amp;MOD(ROW()-8,14)&amp;"-"&amp;VersaPro!F$61&amp;" = *W-*A-*S-*C-"&amp;VersaPro!F67&amp;" #")</f>
        <v/>
      </c>
      <c r="G67" s="1" t="str">
        <f>IF(LEN(VersaPro!G67)=0,"",CHAR(10)&amp;"key *W-*A-*S-*C-m"&amp;MOD(ROW()-8,14)&amp;"-"&amp;VersaPro!G$61&amp;" = *W-*A-*S-*C-"&amp;VersaPro!G67&amp;" #")</f>
        <v/>
      </c>
      <c r="H67" s="1" t="str">
        <f>IF(LEN(VersaPro!H67)=0,"",CHAR(10)&amp;"key *W-*A-*S-*C-m"&amp;MOD(ROW()-8,14)&amp;"-"&amp;VersaPro!H$61&amp;" = *W-*A-*S-*C-"&amp;VersaPro!H67&amp;" #")</f>
        <v/>
      </c>
      <c r="I67" s="1" t="str">
        <f>IF(LEN(VersaPro!I67)=0,"",CHAR(10)&amp;"key *W-*A-*S-*C-m"&amp;MOD(ROW()-8,14)&amp;"-"&amp;VersaPro!I$61&amp;" = *W-*A-*S-*C-"&amp;VersaPro!I67&amp;" #")</f>
        <v/>
      </c>
      <c r="J67" s="1" t="str">
        <f>IF(LEN(VersaPro!J67)=0,"",CHAR(10)&amp;"key *W-*A-*S-*C-m"&amp;MOD(ROW()-8,14)&amp;"-"&amp;VersaPro!J$61&amp;" = *W-*A-*S-*C-"&amp;VersaPro!J67&amp;" #")</f>
        <v/>
      </c>
      <c r="K67" s="1" t="str">
        <f>IF(LEN(VersaPro!K67)=0,"",CHAR(10)&amp;"key *W-*A-*S-*C-m"&amp;MOD(ROW()-8,14)&amp;"-"&amp;VersaPro!K$61&amp;" = *W-*A-*S-*C-"&amp;VersaPro!K67&amp;" #")</f>
        <v/>
      </c>
      <c r="L67" s="1" t="str">
        <f>IF(LEN(VersaPro!L67)=0,"",CHAR(10)&amp;"key *W-*A-*S-*C-m"&amp;MOD(ROW()-8,14)&amp;"-"&amp;VersaPro!L$61&amp;" = *W-*A-*S-*C-"&amp;VersaPro!L67&amp;" #")</f>
        <v/>
      </c>
      <c r="M67" s="1" t="str">
        <f>IF(LEN(VersaPro!M67)=0,"",CHAR(10)&amp;"key *W-*A-*S-*C-m"&amp;MOD(ROW()-8,14)&amp;"-"&amp;VersaPro!M$61&amp;" = *W-*A-*S-*C-"&amp;VersaPro!M67&amp;" #")</f>
        <v/>
      </c>
      <c r="N67" s="1" t="str">
        <f>IF(LEN(VersaPro!N67)=0,"",CHAR(10)&amp;"key *W-*A-*S-*C-m"&amp;MOD(ROW()-8,14)&amp;"-"&amp;VersaPro!N$61&amp;" = *W-*A-*S-*C-"&amp;VersaPro!N67&amp;" #")</f>
        <v/>
      </c>
      <c r="O67" s="1" t="str">
        <f>IF(LEN(VersaPro!O67)=0,"",CHAR(10)&amp;"key *W-*A-*S-*C-m"&amp;MOD(ROW()-8,14)&amp;"-"&amp;VersaPro!O$61&amp;" = *W-*A-*S-*C-"&amp;VersaPro!O67&amp;" #")</f>
        <v/>
      </c>
      <c r="P67" s="1" t="str">
        <f>IF(LEN(VersaPro!P67)=0,"",CHAR(10)&amp;"key *W-*A-*S-*C-m"&amp;MOD(ROW()-8,14)&amp;"-"&amp;VersaPro!P$61&amp;" = *W-*A-*S-*C-"&amp;VersaPro!P67&amp;" #")</f>
        <v/>
      </c>
      <c r="Q67" s="1" t="str">
        <f>IF(LEN(VersaPro!Q67)=0,"",CHAR(10)&amp;"key *W-*A-*S-*C-m"&amp;MOD(ROW()-8,14)&amp;"-"&amp;VersaPro!Q$61&amp;" = *W-*A-*S-*C-"&amp;VersaPro!Q67&amp;" #")</f>
        <v/>
      </c>
      <c r="R67" s="1" t="str">
        <f>IF(LEN(VersaPro!R67)=0,"",CHAR(10)&amp;"key *W-*A-*S-*C-m"&amp;MOD(ROW()-8,14)&amp;"-"&amp;VersaPro!R$61&amp;" = *W-*A-*S-*C-"&amp;VersaPro!R67&amp;" #")</f>
        <v/>
      </c>
    </row>
    <row r="68" spans="1:18" x14ac:dyDescent="0.7">
      <c r="A68" s="1" t="str">
        <f t="shared" si="4"/>
        <v># mod4</v>
      </c>
      <c r="B68" s="1" t="str">
        <f>IF(LEN(VersaPro!B68)=0,"",CHAR(10)&amp;"key *W-*A-*S-*C-m"&amp;MOD(ROW()-8,14)&amp;"-"&amp;VersaPro!B$61&amp;" = *W-*A-*S-*C-"&amp;VersaPro!B68&amp;" #")</f>
        <v/>
      </c>
      <c r="C68" s="1" t="str">
        <f>IF(LEN(VersaPro!C68)=0,"",CHAR(10)&amp;"key *W-*A-*S-*C-m"&amp;MOD(ROW()-8,14)&amp;"-"&amp;VersaPro!C$61&amp;" = *W-*A-*S-*C-"&amp;VersaPro!C68&amp;" #")</f>
        <v/>
      </c>
      <c r="D68" s="1" t="str">
        <f>IF(LEN(VersaPro!D68)=0,"",CHAR(10)&amp;"key *W-*A-*S-*C-m"&amp;MOD(ROW()-8,14)&amp;"-"&amp;VersaPro!D$61&amp;" = *W-*A-*S-*C-"&amp;VersaPro!D68&amp;" #")</f>
        <v/>
      </c>
      <c r="E68" s="1" t="str">
        <f>IF(LEN(VersaPro!E68)=0,"",CHAR(10)&amp;"key *W-*A-*S-*C-m"&amp;MOD(ROW()-8,14)&amp;"-"&amp;VersaPro!E$61&amp;" = *W-*A-*S-*C-"&amp;VersaPro!E68&amp;" #")</f>
        <v/>
      </c>
      <c r="F68" s="1" t="str">
        <f>IF(LEN(VersaPro!F68)=0,"",CHAR(10)&amp;"key *W-*A-*S-*C-m"&amp;MOD(ROW()-8,14)&amp;"-"&amp;VersaPro!F$61&amp;" = *W-*A-*S-*C-"&amp;VersaPro!F68&amp;" #")</f>
        <v/>
      </c>
      <c r="G68" s="1" t="str">
        <f>IF(LEN(VersaPro!G68)=0,"",CHAR(10)&amp;"key *W-*A-*S-*C-m"&amp;MOD(ROW()-8,14)&amp;"-"&amp;VersaPro!G$61&amp;" = *W-*A-*S-*C-"&amp;VersaPro!G68&amp;" #")</f>
        <v/>
      </c>
      <c r="H68" s="1" t="str">
        <f>IF(LEN(VersaPro!H68)=0,"",CHAR(10)&amp;"key *W-*A-*S-*C-m"&amp;MOD(ROW()-8,14)&amp;"-"&amp;VersaPro!H$61&amp;" = *W-*A-*S-*C-"&amp;VersaPro!H68&amp;" #")</f>
        <v/>
      </c>
      <c r="I68" s="1" t="str">
        <f>IF(LEN(VersaPro!I68)=0,"",CHAR(10)&amp;"key *W-*A-*S-*C-m"&amp;MOD(ROW()-8,14)&amp;"-"&amp;VersaPro!I$61&amp;" = *W-*A-*S-*C-"&amp;VersaPro!I68&amp;" #")</f>
        <v/>
      </c>
      <c r="J68" s="1" t="str">
        <f>IF(LEN(VersaPro!J68)=0,"",CHAR(10)&amp;"key *W-*A-*S-*C-m"&amp;MOD(ROW()-8,14)&amp;"-"&amp;VersaPro!J$61&amp;" = *W-*A-*S-*C-"&amp;VersaPro!J68&amp;" #")</f>
        <v/>
      </c>
      <c r="K68" s="1" t="str">
        <f>IF(LEN(VersaPro!K68)=0,"",CHAR(10)&amp;"key *W-*A-*S-*C-m"&amp;MOD(ROW()-8,14)&amp;"-"&amp;VersaPro!K$61&amp;" = *W-*A-*S-*C-"&amp;VersaPro!K68&amp;" #")</f>
        <v/>
      </c>
      <c r="L68" s="1" t="str">
        <f>IF(LEN(VersaPro!L68)=0,"",CHAR(10)&amp;"key *W-*A-*S-*C-m"&amp;MOD(ROW()-8,14)&amp;"-"&amp;VersaPro!L$61&amp;" = *W-*A-*S-*C-"&amp;VersaPro!L68&amp;" #")</f>
        <v/>
      </c>
      <c r="M68" s="1" t="str">
        <f>IF(LEN(VersaPro!M68)=0,"",CHAR(10)&amp;"key *W-*A-*S-*C-m"&amp;MOD(ROW()-8,14)&amp;"-"&amp;VersaPro!M$61&amp;" = *W-*A-*S-*C-"&amp;VersaPro!M68&amp;" #")</f>
        <v/>
      </c>
      <c r="N68" s="1" t="str">
        <f>IF(LEN(VersaPro!N68)=0,"",CHAR(10)&amp;"key *W-*A-*S-*C-m"&amp;MOD(ROW()-8,14)&amp;"-"&amp;VersaPro!N$61&amp;" = *W-*A-*S-*C-"&amp;VersaPro!N68&amp;" #")</f>
        <v/>
      </c>
      <c r="O68" s="1" t="str">
        <f>IF(LEN(VersaPro!O68)=0,"",CHAR(10)&amp;"key *W-*A-*S-*C-m"&amp;MOD(ROW()-8,14)&amp;"-"&amp;VersaPro!O$61&amp;" = *W-*A-*S-*C-"&amp;VersaPro!O68&amp;" #")</f>
        <v/>
      </c>
      <c r="P68" s="1" t="str">
        <f>IF(LEN(VersaPro!P68)=0,"",CHAR(10)&amp;"key *W-*A-*S-*C-m"&amp;MOD(ROW()-8,14)&amp;"-"&amp;VersaPro!P$61&amp;" = *W-*A-*S-*C-"&amp;VersaPro!P68&amp;" #")</f>
        <v/>
      </c>
      <c r="Q68" s="1" t="str">
        <f>IF(LEN(VersaPro!Q68)=0,"",CHAR(10)&amp;"key *W-*A-*S-*C-m"&amp;MOD(ROW()-8,14)&amp;"-"&amp;VersaPro!Q$61&amp;" = *W-*A-*S-*C-"&amp;VersaPro!Q68&amp;" #")</f>
        <v/>
      </c>
      <c r="R68" s="1" t="str">
        <f>IF(LEN(VersaPro!R68)=0,"",CHAR(10)&amp;"key *W-*A-*S-*C-m"&amp;MOD(ROW()-8,14)&amp;"-"&amp;VersaPro!R$61&amp;" = *W-*A-*S-*C-"&amp;VersaPro!R68&amp;" #")</f>
        <v/>
      </c>
    </row>
    <row r="69" spans="1:18" x14ac:dyDescent="0.7">
      <c r="A69" s="1" t="str">
        <f t="shared" si="4"/>
        <v># mod5</v>
      </c>
      <c r="B69" s="1" t="str">
        <f>IF(LEN(VersaPro!B69)=0,"",CHAR(10)&amp;"key *W-*A-*S-*C-m"&amp;MOD(ROW()-8,14)&amp;"-"&amp;VersaPro!B$61&amp;" = *W-*A-*S-*C-"&amp;VersaPro!B69&amp;" #")</f>
        <v/>
      </c>
      <c r="C69" s="1" t="str">
        <f>IF(LEN(VersaPro!C69)=0,"",CHAR(10)&amp;"key *W-*A-*S-*C-m"&amp;MOD(ROW()-8,14)&amp;"-"&amp;VersaPro!C$61&amp;" = *W-*A-*S-*C-"&amp;VersaPro!C69&amp;" #")</f>
        <v/>
      </c>
      <c r="D69" s="1" t="str">
        <f>IF(LEN(VersaPro!D69)=0,"",CHAR(10)&amp;"key *W-*A-*S-*C-m"&amp;MOD(ROW()-8,14)&amp;"-"&amp;VersaPro!D$61&amp;" = *W-*A-*S-*C-"&amp;VersaPro!D69&amp;" #")</f>
        <v/>
      </c>
      <c r="E69" s="1" t="str">
        <f>IF(LEN(VersaPro!E69)=0,"",CHAR(10)&amp;"key *W-*A-*S-*C-m"&amp;MOD(ROW()-8,14)&amp;"-"&amp;VersaPro!E$61&amp;" = *W-*A-*S-*C-"&amp;VersaPro!E69&amp;" #")</f>
        <v/>
      </c>
      <c r="F69" s="1" t="str">
        <f>IF(LEN(VersaPro!F69)=0,"",CHAR(10)&amp;"key *W-*A-*S-*C-m"&amp;MOD(ROW()-8,14)&amp;"-"&amp;VersaPro!F$61&amp;" = *W-*A-*S-*C-"&amp;VersaPro!F69&amp;" #")</f>
        <v/>
      </c>
      <c r="G69" s="1" t="str">
        <f>IF(LEN(VersaPro!G69)=0,"",CHAR(10)&amp;"key *W-*A-*S-*C-m"&amp;MOD(ROW()-8,14)&amp;"-"&amp;VersaPro!G$61&amp;" = *W-*A-*S-*C-"&amp;VersaPro!G69&amp;" #")</f>
        <v/>
      </c>
      <c r="H69" s="1" t="str">
        <f>IF(LEN(VersaPro!H69)=0,"",CHAR(10)&amp;"key *W-*A-*S-*C-m"&amp;MOD(ROW()-8,14)&amp;"-"&amp;VersaPro!H$61&amp;" = *W-*A-*S-*C-"&amp;VersaPro!H69&amp;" #")</f>
        <v/>
      </c>
      <c r="I69" s="1" t="str">
        <f>IF(LEN(VersaPro!I69)=0,"",CHAR(10)&amp;"key *W-*A-*S-*C-m"&amp;MOD(ROW()-8,14)&amp;"-"&amp;VersaPro!I$61&amp;" = *W-*A-*S-*C-"&amp;VersaPro!I69&amp;" #")</f>
        <v/>
      </c>
      <c r="J69" s="1" t="str">
        <f>IF(LEN(VersaPro!J69)=0,"",CHAR(10)&amp;"key *W-*A-*S-*C-m"&amp;MOD(ROW()-8,14)&amp;"-"&amp;VersaPro!J$61&amp;" = *W-*A-*S-*C-"&amp;VersaPro!J69&amp;" #")</f>
        <v/>
      </c>
      <c r="K69" s="1" t="str">
        <f>IF(LEN(VersaPro!K69)=0,"",CHAR(10)&amp;"key *W-*A-*S-*C-m"&amp;MOD(ROW()-8,14)&amp;"-"&amp;VersaPro!K$61&amp;" = *W-*A-*S-*C-"&amp;VersaPro!K69&amp;" #")</f>
        <v/>
      </c>
      <c r="L69" s="1" t="str">
        <f>IF(LEN(VersaPro!L69)=0,"",CHAR(10)&amp;"key *W-*A-*S-*C-m"&amp;MOD(ROW()-8,14)&amp;"-"&amp;VersaPro!L$61&amp;" = *W-*A-*S-*C-"&amp;VersaPro!L69&amp;" #")</f>
        <v/>
      </c>
      <c r="M69" s="1" t="str">
        <f>IF(LEN(VersaPro!M69)=0,"",CHAR(10)&amp;"key *W-*A-*S-*C-m"&amp;MOD(ROW()-8,14)&amp;"-"&amp;VersaPro!M$61&amp;" = *W-*A-*S-*C-"&amp;VersaPro!M69&amp;" #")</f>
        <v/>
      </c>
      <c r="N69" s="1" t="str">
        <f>IF(LEN(VersaPro!N69)=0,"",CHAR(10)&amp;"key *W-*A-*S-*C-m"&amp;MOD(ROW()-8,14)&amp;"-"&amp;VersaPro!N$61&amp;" = *W-*A-*S-*C-"&amp;VersaPro!N69&amp;" #")</f>
        <v/>
      </c>
      <c r="O69" s="1" t="str">
        <f>IF(LEN(VersaPro!O69)=0,"",CHAR(10)&amp;"key *W-*A-*S-*C-m"&amp;MOD(ROW()-8,14)&amp;"-"&amp;VersaPro!O$61&amp;" = *W-*A-*S-*C-"&amp;VersaPro!O69&amp;" #")</f>
        <v/>
      </c>
      <c r="P69" s="1" t="str">
        <f>IF(LEN(VersaPro!P69)=0,"",CHAR(10)&amp;"key *W-*A-*S-*C-m"&amp;MOD(ROW()-8,14)&amp;"-"&amp;VersaPro!P$61&amp;" = *W-*A-*S-*C-"&amp;VersaPro!P69&amp;" #")</f>
        <v/>
      </c>
      <c r="Q69" s="1" t="str">
        <f>IF(LEN(VersaPro!Q69)=0,"",CHAR(10)&amp;"key *W-*A-*S-*C-m"&amp;MOD(ROW()-8,14)&amp;"-"&amp;VersaPro!Q$61&amp;" = *W-*A-*S-*C-"&amp;VersaPro!Q69&amp;" #")</f>
        <v/>
      </c>
      <c r="R69" s="1" t="str">
        <f>IF(LEN(VersaPro!R69)=0,"",CHAR(10)&amp;"key *W-*A-*S-*C-m"&amp;MOD(ROW()-8,14)&amp;"-"&amp;VersaPro!R$61&amp;" = *W-*A-*S-*C-"&amp;VersaPro!R69&amp;" #")</f>
        <v/>
      </c>
    </row>
    <row r="70" spans="1:18" x14ac:dyDescent="0.7">
      <c r="A70" s="1" t="str">
        <f t="shared" si="4"/>
        <v># mod6</v>
      </c>
      <c r="B70" s="1" t="str">
        <f>IF(LEN(VersaPro!B70)=0,"",CHAR(10)&amp;"key *W-*A-*S-*C-m"&amp;MOD(ROW()-8,14)&amp;"-"&amp;VersaPro!B$61&amp;" = *W-*A-*S-*C-"&amp;VersaPro!B70&amp;" #")</f>
        <v/>
      </c>
      <c r="C70" s="1" t="str">
        <f>IF(LEN(VersaPro!C70)=0,"",CHAR(10)&amp;"key *W-*A-*S-*C-m"&amp;MOD(ROW()-8,14)&amp;"-"&amp;VersaPro!C$61&amp;" = *W-*A-*S-*C-"&amp;VersaPro!C70&amp;" #")</f>
        <v/>
      </c>
      <c r="D70" s="1" t="str">
        <f>IF(LEN(VersaPro!D70)=0,"",CHAR(10)&amp;"key *W-*A-*S-*C-m"&amp;MOD(ROW()-8,14)&amp;"-"&amp;VersaPro!D$61&amp;" = *W-*A-*S-*C-"&amp;VersaPro!D70&amp;" #")</f>
        <v/>
      </c>
      <c r="E70" s="1" t="str">
        <f>IF(LEN(VersaPro!E70)=0,"",CHAR(10)&amp;"key *W-*A-*S-*C-m"&amp;MOD(ROW()-8,14)&amp;"-"&amp;VersaPro!E$61&amp;" = *W-*A-*S-*C-"&amp;VersaPro!E70&amp;" #")</f>
        <v/>
      </c>
      <c r="F70" s="1" t="str">
        <f>IF(LEN(VersaPro!F70)=0,"",CHAR(10)&amp;"key *W-*A-*S-*C-m"&amp;MOD(ROW()-8,14)&amp;"-"&amp;VersaPro!F$61&amp;" = *W-*A-*S-*C-"&amp;VersaPro!F70&amp;" #")</f>
        <v/>
      </c>
      <c r="G70" s="1" t="str">
        <f>IF(LEN(VersaPro!G70)=0,"",CHAR(10)&amp;"key *W-*A-*S-*C-m"&amp;MOD(ROW()-8,14)&amp;"-"&amp;VersaPro!G$61&amp;" = *W-*A-*S-*C-"&amp;VersaPro!G70&amp;" #")</f>
        <v/>
      </c>
      <c r="H70" s="1" t="str">
        <f>IF(LEN(VersaPro!H70)=0,"",CHAR(10)&amp;"key *W-*A-*S-*C-m"&amp;MOD(ROW()-8,14)&amp;"-"&amp;VersaPro!H$61&amp;" = *W-*A-*S-*C-"&amp;VersaPro!H70&amp;" #")</f>
        <v/>
      </c>
      <c r="I70" s="1" t="str">
        <f>IF(LEN(VersaPro!I70)=0,"",CHAR(10)&amp;"key *W-*A-*S-*C-m"&amp;MOD(ROW()-8,14)&amp;"-"&amp;VersaPro!I$61&amp;" = *W-*A-*S-*C-"&amp;VersaPro!I70&amp;" #")</f>
        <v/>
      </c>
      <c r="J70" s="1" t="str">
        <f>IF(LEN(VersaPro!J70)=0,"",CHAR(10)&amp;"key *W-*A-*S-*C-m"&amp;MOD(ROW()-8,14)&amp;"-"&amp;VersaPro!J$61&amp;" = *W-*A-*S-*C-"&amp;VersaPro!J70&amp;" #")</f>
        <v/>
      </c>
      <c r="K70" s="1" t="str">
        <f>IF(LEN(VersaPro!K70)=0,"",CHAR(10)&amp;"key *W-*A-*S-*C-m"&amp;MOD(ROW()-8,14)&amp;"-"&amp;VersaPro!K$61&amp;" = *W-*A-*S-*C-"&amp;VersaPro!K70&amp;" #")</f>
        <v/>
      </c>
      <c r="L70" s="1" t="str">
        <f>IF(LEN(VersaPro!L70)=0,"",CHAR(10)&amp;"key *W-*A-*S-*C-m"&amp;MOD(ROW()-8,14)&amp;"-"&amp;VersaPro!L$61&amp;" = *W-*A-*S-*C-"&amp;VersaPro!L70&amp;" #")</f>
        <v/>
      </c>
      <c r="M70" s="1" t="str">
        <f>IF(LEN(VersaPro!M70)=0,"",CHAR(10)&amp;"key *W-*A-*S-*C-m"&amp;MOD(ROW()-8,14)&amp;"-"&amp;VersaPro!M$61&amp;" = *W-*A-*S-*C-"&amp;VersaPro!M70&amp;" #")</f>
        <v/>
      </c>
      <c r="N70" s="1" t="str">
        <f>IF(LEN(VersaPro!N70)=0,"",CHAR(10)&amp;"key *W-*A-*S-*C-m"&amp;MOD(ROW()-8,14)&amp;"-"&amp;VersaPro!N$61&amp;" = *W-*A-*S-*C-"&amp;VersaPro!N70&amp;" #")</f>
        <v/>
      </c>
      <c r="O70" s="1" t="str">
        <f>IF(LEN(VersaPro!O70)=0,"",CHAR(10)&amp;"key *W-*A-*S-*C-m"&amp;MOD(ROW()-8,14)&amp;"-"&amp;VersaPro!O$61&amp;" = *W-*A-*S-*C-"&amp;VersaPro!O70&amp;" #")</f>
        <v/>
      </c>
      <c r="P70" s="1" t="str">
        <f>IF(LEN(VersaPro!P70)=0,"",CHAR(10)&amp;"key *W-*A-*S-*C-m"&amp;MOD(ROW()-8,14)&amp;"-"&amp;VersaPro!P$61&amp;" = *W-*A-*S-*C-"&amp;VersaPro!P70&amp;" #")</f>
        <v/>
      </c>
      <c r="Q70" s="1" t="str">
        <f>IF(LEN(VersaPro!Q70)=0,"",CHAR(10)&amp;"key *W-*A-*S-*C-m"&amp;MOD(ROW()-8,14)&amp;"-"&amp;VersaPro!Q$61&amp;" = *W-*A-*S-*C-"&amp;VersaPro!Q70&amp;" #")</f>
        <v/>
      </c>
      <c r="R70" s="1" t="str">
        <f>IF(LEN(VersaPro!R70)=0,"",CHAR(10)&amp;"key *W-*A-*S-*C-m"&amp;MOD(ROW()-8,14)&amp;"-"&amp;VersaPro!R$61&amp;" = *W-*A-*S-*C-"&amp;VersaPro!R70&amp;" #")</f>
        <v/>
      </c>
    </row>
    <row r="71" spans="1:18" x14ac:dyDescent="0.7">
      <c r="A71" s="1" t="str">
        <f t="shared" si="4"/>
        <v># mod7</v>
      </c>
      <c r="B71" s="1" t="str">
        <f>IF(LEN(VersaPro!B71)=0,"",CHAR(10)&amp;"key *W-*A-*S-*C-m"&amp;MOD(ROW()-8,14)&amp;"-"&amp;VersaPro!B$61&amp;" = *W-*A-*S-*C-"&amp;VersaPro!B71&amp;" #")</f>
        <v/>
      </c>
      <c r="C71" s="1" t="str">
        <f>IF(LEN(VersaPro!C71)=0,"",CHAR(10)&amp;"key *W-*A-*S-*C-m"&amp;MOD(ROW()-8,14)&amp;"-"&amp;VersaPro!C$61&amp;" = *W-*A-*S-*C-"&amp;VersaPro!C71&amp;" #")</f>
        <v/>
      </c>
      <c r="D71" s="1" t="str">
        <f>IF(LEN(VersaPro!D71)=0,"",CHAR(10)&amp;"key *W-*A-*S-*C-m"&amp;MOD(ROW()-8,14)&amp;"-"&amp;VersaPro!D$61&amp;" = *W-*A-*S-*C-"&amp;VersaPro!D71&amp;" #")</f>
        <v/>
      </c>
      <c r="E71" s="1" t="str">
        <f>IF(LEN(VersaPro!E71)=0,"",CHAR(10)&amp;"key *W-*A-*S-*C-m"&amp;MOD(ROW()-8,14)&amp;"-"&amp;VersaPro!E$61&amp;" = *W-*A-*S-*C-"&amp;VersaPro!E71&amp;" #")</f>
        <v/>
      </c>
      <c r="F71" s="1" t="str">
        <f>IF(LEN(VersaPro!F71)=0,"",CHAR(10)&amp;"key *W-*A-*S-*C-m"&amp;MOD(ROW()-8,14)&amp;"-"&amp;VersaPro!F$61&amp;" = *W-*A-*S-*C-"&amp;VersaPro!F71&amp;" #")</f>
        <v/>
      </c>
      <c r="G71" s="1" t="str">
        <f>IF(LEN(VersaPro!G71)=0,"",CHAR(10)&amp;"key *W-*A-*S-*C-m"&amp;MOD(ROW()-8,14)&amp;"-"&amp;VersaPro!G$61&amp;" = *W-*A-*S-*C-"&amp;VersaPro!G71&amp;" #")</f>
        <v/>
      </c>
      <c r="H71" s="1" t="str">
        <f>IF(LEN(VersaPro!H71)=0,"",CHAR(10)&amp;"key *W-*A-*S-*C-m"&amp;MOD(ROW()-8,14)&amp;"-"&amp;VersaPro!H$61&amp;" = *W-*A-*S-*C-"&amp;VersaPro!H71&amp;" #")</f>
        <v/>
      </c>
      <c r="I71" s="1" t="str">
        <f>IF(LEN(VersaPro!I71)=0,"",CHAR(10)&amp;"key *W-*A-*S-*C-m"&amp;MOD(ROW()-8,14)&amp;"-"&amp;VersaPro!I$61&amp;" = *W-*A-*S-*C-"&amp;VersaPro!I71&amp;" #")</f>
        <v/>
      </c>
      <c r="J71" s="1" t="str">
        <f>IF(LEN(VersaPro!J71)=0,"",CHAR(10)&amp;"key *W-*A-*S-*C-m"&amp;MOD(ROW()-8,14)&amp;"-"&amp;VersaPro!J$61&amp;" = *W-*A-*S-*C-"&amp;VersaPro!J71&amp;" #")</f>
        <v/>
      </c>
      <c r="K71" s="1" t="str">
        <f>IF(LEN(VersaPro!K71)=0,"",CHAR(10)&amp;"key *W-*A-*S-*C-m"&amp;MOD(ROW()-8,14)&amp;"-"&amp;VersaPro!K$61&amp;" = *W-*A-*S-*C-"&amp;VersaPro!K71&amp;" #")</f>
        <v/>
      </c>
      <c r="L71" s="1" t="str">
        <f>IF(LEN(VersaPro!L71)=0,"",CHAR(10)&amp;"key *W-*A-*S-*C-m"&amp;MOD(ROW()-8,14)&amp;"-"&amp;VersaPro!L$61&amp;" = *W-*A-*S-*C-"&amp;VersaPro!L71&amp;" #")</f>
        <v/>
      </c>
      <c r="M71" s="1" t="str">
        <f>IF(LEN(VersaPro!M71)=0,"",CHAR(10)&amp;"key *W-*A-*S-*C-m"&amp;MOD(ROW()-8,14)&amp;"-"&amp;VersaPro!M$61&amp;" = *W-*A-*S-*C-"&amp;VersaPro!M71&amp;" #")</f>
        <v/>
      </c>
      <c r="N71" s="1" t="str">
        <f>IF(LEN(VersaPro!N71)=0,"",CHAR(10)&amp;"key *W-*A-*S-*C-m"&amp;MOD(ROW()-8,14)&amp;"-"&amp;VersaPro!N$61&amp;" = *W-*A-*S-*C-"&amp;VersaPro!N71&amp;" #")</f>
        <v/>
      </c>
      <c r="O71" s="1" t="str">
        <f>IF(LEN(VersaPro!O71)=0,"",CHAR(10)&amp;"key *W-*A-*S-*C-m"&amp;MOD(ROW()-8,14)&amp;"-"&amp;VersaPro!O$61&amp;" = *W-*A-*S-*C-"&amp;VersaPro!O71&amp;" #")</f>
        <v/>
      </c>
      <c r="P71" s="1" t="str">
        <f>IF(LEN(VersaPro!P71)=0,"",CHAR(10)&amp;"key *W-*A-*S-*C-m"&amp;MOD(ROW()-8,14)&amp;"-"&amp;VersaPro!P$61&amp;" = *W-*A-*S-*C-"&amp;VersaPro!P71&amp;" #")</f>
        <v/>
      </c>
      <c r="Q71" s="1" t="str">
        <f>IF(LEN(VersaPro!Q71)=0,"",CHAR(10)&amp;"key *W-*A-*S-*C-m"&amp;MOD(ROW()-8,14)&amp;"-"&amp;VersaPro!Q$61&amp;" = *W-*A-*S-*C-"&amp;VersaPro!Q71&amp;" #")</f>
        <v/>
      </c>
      <c r="R71" s="1" t="str">
        <f>IF(LEN(VersaPro!R71)=0,"",CHAR(10)&amp;"key *W-*A-*S-*C-m"&amp;MOD(ROW()-8,14)&amp;"-"&amp;VersaPro!R$61&amp;" = *W-*A-*S-*C-"&amp;VersaPro!R71&amp;" #")</f>
        <v/>
      </c>
    </row>
    <row r="72" spans="1:18" x14ac:dyDescent="0.7">
      <c r="A72" s="1" t="str">
        <f t="shared" si="4"/>
        <v># mod8</v>
      </c>
      <c r="B72" s="1" t="str">
        <f>IF(LEN(VersaPro!B72)=0,"",CHAR(10)&amp;"key *W-*A-*S-*C-m"&amp;MOD(ROW()-8,14)&amp;"-"&amp;VersaPro!B$61&amp;" = *W-*A-*S-*C-"&amp;VersaPro!B72&amp;" #")</f>
        <v/>
      </c>
      <c r="C72" s="1" t="str">
        <f>IF(LEN(VersaPro!C72)=0,"",CHAR(10)&amp;"key *W-*A-*S-*C-m"&amp;MOD(ROW()-8,14)&amp;"-"&amp;VersaPro!C$61&amp;" = *W-*A-*S-*C-"&amp;VersaPro!C72&amp;" #")</f>
        <v/>
      </c>
      <c r="D72" s="1" t="str">
        <f>IF(LEN(VersaPro!D72)=0,"",CHAR(10)&amp;"key *W-*A-*S-*C-m"&amp;MOD(ROW()-8,14)&amp;"-"&amp;VersaPro!D$61&amp;" = *W-*A-*S-*C-"&amp;VersaPro!D72&amp;" #")</f>
        <v/>
      </c>
      <c r="E72" s="1" t="str">
        <f>IF(LEN(VersaPro!E72)=0,"",CHAR(10)&amp;"key *W-*A-*S-*C-m"&amp;MOD(ROW()-8,14)&amp;"-"&amp;VersaPro!E$61&amp;" = *W-*A-*S-*C-"&amp;VersaPro!E72&amp;" #")</f>
        <v/>
      </c>
      <c r="F72" s="1" t="str">
        <f>IF(LEN(VersaPro!F72)=0,"",CHAR(10)&amp;"key *W-*A-*S-*C-m"&amp;MOD(ROW()-8,14)&amp;"-"&amp;VersaPro!F$61&amp;" = *W-*A-*S-*C-"&amp;VersaPro!F72&amp;" #")</f>
        <v/>
      </c>
      <c r="G72" s="1" t="str">
        <f>IF(LEN(VersaPro!G72)=0,"",CHAR(10)&amp;"key *W-*A-*S-*C-m"&amp;MOD(ROW()-8,14)&amp;"-"&amp;VersaPro!G$61&amp;" = *W-*A-*S-*C-"&amp;VersaPro!G72&amp;" #")</f>
        <v/>
      </c>
      <c r="H72" s="1" t="str">
        <f>IF(LEN(VersaPro!H72)=0,"",CHAR(10)&amp;"key *W-*A-*S-*C-m"&amp;MOD(ROW()-8,14)&amp;"-"&amp;VersaPro!H$61&amp;" = *W-*A-*S-*C-"&amp;VersaPro!H72&amp;" #")</f>
        <v/>
      </c>
      <c r="I72" s="1" t="str">
        <f>IF(LEN(VersaPro!I72)=0,"",CHAR(10)&amp;"key *W-*A-*S-*C-m"&amp;MOD(ROW()-8,14)&amp;"-"&amp;VersaPro!I$61&amp;" = *W-*A-*S-*C-"&amp;VersaPro!I72&amp;" #")</f>
        <v/>
      </c>
      <c r="J72" s="1" t="str">
        <f>IF(LEN(VersaPro!J72)=0,"",CHAR(10)&amp;"key *W-*A-*S-*C-m"&amp;MOD(ROW()-8,14)&amp;"-"&amp;VersaPro!J$61&amp;" = *W-*A-*S-*C-"&amp;VersaPro!J72&amp;" #")</f>
        <v/>
      </c>
      <c r="K72" s="1" t="str">
        <f>IF(LEN(VersaPro!K72)=0,"",CHAR(10)&amp;"key *W-*A-*S-*C-m"&amp;MOD(ROW()-8,14)&amp;"-"&amp;VersaPro!K$61&amp;" = *W-*A-*S-*C-"&amp;VersaPro!K72&amp;" #")</f>
        <v/>
      </c>
      <c r="L72" s="1" t="str">
        <f>IF(LEN(VersaPro!L72)=0,"",CHAR(10)&amp;"key *W-*A-*S-*C-m"&amp;MOD(ROW()-8,14)&amp;"-"&amp;VersaPro!L$61&amp;" = *W-*A-*S-*C-"&amp;VersaPro!L72&amp;" #")</f>
        <v/>
      </c>
      <c r="M72" s="1" t="str">
        <f>IF(LEN(VersaPro!M72)=0,"",CHAR(10)&amp;"key *W-*A-*S-*C-m"&amp;MOD(ROW()-8,14)&amp;"-"&amp;VersaPro!M$61&amp;" = *W-*A-*S-*C-"&amp;VersaPro!M72&amp;" #")</f>
        <v/>
      </c>
      <c r="N72" s="1" t="str">
        <f>IF(LEN(VersaPro!N72)=0,"",CHAR(10)&amp;"key *W-*A-*S-*C-m"&amp;MOD(ROW()-8,14)&amp;"-"&amp;VersaPro!N$61&amp;" = *W-*A-*S-*C-"&amp;VersaPro!N72&amp;" #")</f>
        <v/>
      </c>
      <c r="O72" s="1" t="str">
        <f>IF(LEN(VersaPro!O72)=0,"",CHAR(10)&amp;"key *W-*A-*S-*C-m"&amp;MOD(ROW()-8,14)&amp;"-"&amp;VersaPro!O$61&amp;" = *W-*A-*S-*C-"&amp;VersaPro!O72&amp;" #")</f>
        <v/>
      </c>
      <c r="P72" s="1" t="str">
        <f>IF(LEN(VersaPro!P72)=0,"",CHAR(10)&amp;"key *W-*A-*S-*C-m"&amp;MOD(ROW()-8,14)&amp;"-"&amp;VersaPro!P$61&amp;" = *W-*A-*S-*C-"&amp;VersaPro!P72&amp;" #")</f>
        <v/>
      </c>
      <c r="Q72" s="1" t="str">
        <f>IF(LEN(VersaPro!Q72)=0,"",CHAR(10)&amp;"key *W-*A-*S-*C-m"&amp;MOD(ROW()-8,14)&amp;"-"&amp;VersaPro!Q$61&amp;" = *W-*A-*S-*C-"&amp;VersaPro!Q72&amp;" #")</f>
        <v/>
      </c>
      <c r="R72" s="1" t="str">
        <f>IF(LEN(VersaPro!R72)=0,"",CHAR(10)&amp;"key *W-*A-*S-*C-m"&amp;MOD(ROW()-8,14)&amp;"-"&amp;VersaPro!R$61&amp;" = *W-*A-*S-*C-"&amp;VersaPro!R72&amp;" #")</f>
        <v/>
      </c>
    </row>
    <row r="73" spans="1:18" x14ac:dyDescent="0.7">
      <c r="A73" s="1" t="str">
        <f t="shared" si="4"/>
        <v># mod9</v>
      </c>
      <c r="B73" s="1" t="str">
        <f>IF(LEN(VersaPro!B73)=0,"",CHAR(10)&amp;"key *W-*A-*S-*C-m"&amp;MOD(ROW()-8,14)&amp;"-"&amp;VersaPro!B$61&amp;" = *W-*A-*S-*C-"&amp;VersaPro!B73&amp;" #")</f>
        <v/>
      </c>
      <c r="C73" s="1" t="str">
        <f>IF(LEN(VersaPro!C73)=0,"",CHAR(10)&amp;"key *W-*A-*S-*C-m"&amp;MOD(ROW()-8,14)&amp;"-"&amp;VersaPro!C$61&amp;" = *W-*A-*S-*C-"&amp;VersaPro!C73&amp;" #")</f>
        <v/>
      </c>
      <c r="D73" s="1" t="str">
        <f>IF(LEN(VersaPro!D73)=0,"",CHAR(10)&amp;"key *W-*A-*S-*C-m"&amp;MOD(ROW()-8,14)&amp;"-"&amp;VersaPro!D$61&amp;" = *W-*A-*S-*C-"&amp;VersaPro!D73&amp;" #")</f>
        <v/>
      </c>
      <c r="E73" s="1" t="str">
        <f>IF(LEN(VersaPro!E73)=0,"",CHAR(10)&amp;"key *W-*A-*S-*C-m"&amp;MOD(ROW()-8,14)&amp;"-"&amp;VersaPro!E$61&amp;" = *W-*A-*S-*C-"&amp;VersaPro!E73&amp;" #")</f>
        <v/>
      </c>
      <c r="F73" s="1" t="str">
        <f>IF(LEN(VersaPro!F73)=0,"",CHAR(10)&amp;"key *W-*A-*S-*C-m"&amp;MOD(ROW()-8,14)&amp;"-"&amp;VersaPro!F$61&amp;" = *W-*A-*S-*C-"&amp;VersaPro!F73&amp;" #")</f>
        <v/>
      </c>
      <c r="G73" s="1" t="str">
        <f>IF(LEN(VersaPro!G73)=0,"",CHAR(10)&amp;"key *W-*A-*S-*C-m"&amp;MOD(ROW()-8,14)&amp;"-"&amp;VersaPro!G$61&amp;" = *W-*A-*S-*C-"&amp;VersaPro!G73&amp;" #")</f>
        <v/>
      </c>
      <c r="H73" s="1" t="str">
        <f>IF(LEN(VersaPro!H73)=0,"",CHAR(10)&amp;"key *W-*A-*S-*C-m"&amp;MOD(ROW()-8,14)&amp;"-"&amp;VersaPro!H$61&amp;" = *W-*A-*S-*C-"&amp;VersaPro!H73&amp;" #")</f>
        <v/>
      </c>
      <c r="I73" s="1" t="str">
        <f>IF(LEN(VersaPro!I73)=0,"",CHAR(10)&amp;"key *W-*A-*S-*C-m"&amp;MOD(ROW()-8,14)&amp;"-"&amp;VersaPro!I$61&amp;" = *W-*A-*S-*C-"&amp;VersaPro!I73&amp;" #")</f>
        <v/>
      </c>
      <c r="J73" s="1" t="str">
        <f>IF(LEN(VersaPro!J73)=0,"",CHAR(10)&amp;"key *W-*A-*S-*C-m"&amp;MOD(ROW()-8,14)&amp;"-"&amp;VersaPro!J$61&amp;" = *W-*A-*S-*C-"&amp;VersaPro!J73&amp;" #")</f>
        <v/>
      </c>
      <c r="K73" s="1" t="str">
        <f>IF(LEN(VersaPro!K73)=0,"",CHAR(10)&amp;"key *W-*A-*S-*C-m"&amp;MOD(ROW()-8,14)&amp;"-"&amp;VersaPro!K$61&amp;" = *W-*A-*S-*C-"&amp;VersaPro!K73&amp;" #")</f>
        <v/>
      </c>
      <c r="L73" s="1" t="str">
        <f>IF(LEN(VersaPro!L73)=0,"",CHAR(10)&amp;"key *W-*A-*S-*C-m"&amp;MOD(ROW()-8,14)&amp;"-"&amp;VersaPro!L$61&amp;" = *W-*A-*S-*C-"&amp;VersaPro!L73&amp;" #")</f>
        <v/>
      </c>
      <c r="M73" s="1" t="str">
        <f>IF(LEN(VersaPro!M73)=0,"",CHAR(10)&amp;"key *W-*A-*S-*C-m"&amp;MOD(ROW()-8,14)&amp;"-"&amp;VersaPro!M$61&amp;" = *W-*A-*S-*C-"&amp;VersaPro!M73&amp;" #")</f>
        <v/>
      </c>
      <c r="N73" s="1" t="str">
        <f>IF(LEN(VersaPro!N73)=0,"",CHAR(10)&amp;"key *W-*A-*S-*C-m"&amp;MOD(ROW()-8,14)&amp;"-"&amp;VersaPro!N$61&amp;" = *W-*A-*S-*C-"&amp;VersaPro!N73&amp;" #")</f>
        <v/>
      </c>
      <c r="O73" s="1" t="str">
        <f>IF(LEN(VersaPro!O73)=0,"",CHAR(10)&amp;"key *W-*A-*S-*C-m"&amp;MOD(ROW()-8,14)&amp;"-"&amp;VersaPro!O$61&amp;" = *W-*A-*S-*C-"&amp;VersaPro!O73&amp;" #")</f>
        <v/>
      </c>
      <c r="P73" s="1" t="str">
        <f>IF(LEN(VersaPro!P73)=0,"",CHAR(10)&amp;"key *W-*A-*S-*C-m"&amp;MOD(ROW()-8,14)&amp;"-"&amp;VersaPro!P$61&amp;" = *W-*A-*S-*C-"&amp;VersaPro!P73&amp;" #")</f>
        <v/>
      </c>
      <c r="Q73" s="1" t="str">
        <f>IF(LEN(VersaPro!Q73)=0,"",CHAR(10)&amp;"key *W-*A-*S-*C-m"&amp;MOD(ROW()-8,14)&amp;"-"&amp;VersaPro!Q$61&amp;" = *W-*A-*S-*C-"&amp;VersaPro!Q73&amp;" #")</f>
        <v/>
      </c>
      <c r="R73" s="1" t="str">
        <f>IF(LEN(VersaPro!R73)=0,"",CHAR(10)&amp;"key *W-*A-*S-*C-m"&amp;MOD(ROW()-8,14)&amp;"-"&amp;VersaPro!R$61&amp;" = *W-*A-*S-*C-"&amp;VersaPro!R73&amp;" #")</f>
        <v/>
      </c>
    </row>
    <row r="74" spans="1:18" x14ac:dyDescent="0.7">
      <c r="A74" s="1" t="s">
        <v>154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7">
      <c r="A75" s="1" t="s">
        <v>230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7">
      <c r="A76" s="1" t="s">
        <v>153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7">
      <c r="A77" s="1" t="s">
        <v>153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7">
      <c r="A78" s="1" t="str">
        <f t="shared" ref="A78:A87" si="5" xml:space="preserve"> "# mod"&amp;MOD(ROW()-8,14)</f>
        <v># mod0</v>
      </c>
      <c r="B78" s="1" t="str">
        <f>IF(LEN(VersaPro!B78)=0,"",CHAR(10)&amp;"key *W-*A-*S-*C-m"&amp;MOD(ROW()-8,14)&amp;"-"&amp;VersaPro!B$75&amp;" = *W-*A-*S-*C-"&amp;VersaPro!B78&amp;" #")</f>
        <v/>
      </c>
      <c r="C78" s="1" t="str">
        <f>IF(LEN(VersaPro!C78)=0,"",CHAR(10)&amp;"key *W-*A-*S-*C-m"&amp;MOD(ROW()-8,14)&amp;"-"&amp;VersaPro!C$75&amp;" = *W-*A-*S-*C-"&amp;VersaPro!C78&amp;" #")</f>
        <v/>
      </c>
      <c r="D78" s="1" t="str">
        <f>IF(LEN(VersaPro!D78)=0,"",CHAR(10)&amp;"key *W-*A-*S-*C-m"&amp;MOD(ROW()-8,14)&amp;"-"&amp;VersaPro!D$75&amp;" = *W-*A-*S-*C-"&amp;VersaPro!D78&amp;" #")</f>
        <v/>
      </c>
      <c r="E78" s="1" t="str">
        <f>IF(LEN(VersaPro!E78)=0,"",CHAR(10)&amp;"key *W-*A-*S-*C-m"&amp;MOD(ROW()-8,14)&amp;"-"&amp;VersaPro!E$75&amp;" = *W-*A-*S-*C-"&amp;VersaPro!E78&amp;" #")</f>
        <v/>
      </c>
      <c r="F78" s="1" t="str">
        <f>IF(LEN(VersaPro!F78)=0,"",CHAR(10)&amp;"key *W-*A-*S-*C-m"&amp;MOD(ROW()-8,14)&amp;"-"&amp;VersaPro!F$75&amp;" = *W-*A-*S-*C-"&amp;VersaPro!F78&amp;" #")</f>
        <v/>
      </c>
      <c r="G78" s="1" t="str">
        <f>IF(LEN(VersaPro!G78)=0,"",CHAR(10)&amp;"key *W-*A-*S-*C-m"&amp;MOD(ROW()-8,14)&amp;"-"&amp;VersaPro!G$75&amp;" = *W-*A-*S-*C-"&amp;VersaPro!G78&amp;" #")</f>
        <v/>
      </c>
      <c r="H78" s="1" t="str">
        <f>IF(LEN(VersaPro!H78)=0,"",CHAR(10)&amp;"key *W-*A-*S-*C-m"&amp;MOD(ROW()-8,14)&amp;"-"&amp;VersaPro!H$75&amp;" = *W-*A-*S-*C-"&amp;VersaPro!H78&amp;" #")</f>
        <v/>
      </c>
      <c r="I78" s="1" t="str">
        <f>IF(LEN(VersaPro!I78)=0,"",CHAR(10)&amp;"key *W-*A-*S-*C-m"&amp;MOD(ROW()-8,14)&amp;"-"&amp;VersaPro!I$75&amp;" = *W-*A-*S-*C-"&amp;VersaPro!I78&amp;" #")</f>
        <v/>
      </c>
      <c r="J78" s="1" t="str">
        <f>IF(LEN(VersaPro!J78)=0,"",CHAR(10)&amp;"key *W-*A-*S-*C-m"&amp;MOD(ROW()-8,14)&amp;"-"&amp;VersaPro!J$75&amp;" = *W-*A-*S-*C-"&amp;VersaPro!J78&amp;" #")</f>
        <v/>
      </c>
      <c r="K78" s="1" t="str">
        <f>IF(LEN(VersaPro!K78)=0,"",CHAR(10)&amp;"key *W-*A-*S-*C-m"&amp;MOD(ROW()-8,14)&amp;"-"&amp;VersaPro!K$75&amp;" = *W-*A-*S-*C-"&amp;VersaPro!K78&amp;" #")</f>
        <v/>
      </c>
      <c r="L78" s="1" t="str">
        <f>IF(LEN(VersaPro!L78)=0,"",CHAR(10)&amp;"key *W-*A-*S-*C-m"&amp;MOD(ROW()-8,14)&amp;"-"&amp;VersaPro!L$75&amp;" = *W-*A-*S-*C-"&amp;VersaPro!L78&amp;" #")</f>
        <v/>
      </c>
      <c r="M78" s="1" t="str">
        <f>IF(LEN(VersaPro!M78)=0,"",CHAR(10)&amp;"key *W-*A-*S-*C-m"&amp;MOD(ROW()-8,14)&amp;"-"&amp;VersaPro!M$75&amp;" = *W-*A-*S-*C-"&amp;VersaPro!M78&amp;" #")</f>
        <v/>
      </c>
      <c r="N78" s="1" t="str">
        <f>IF(LEN(VersaPro!N78)=0,"",CHAR(10)&amp;"key *W-*A-*S-*C-m"&amp;MOD(ROW()-8,14)&amp;"-"&amp;VersaPro!N$75&amp;" = *W-*A-*S-*C-"&amp;VersaPro!N78&amp;" #")</f>
        <v/>
      </c>
      <c r="O78" s="1" t="str">
        <f>IF(LEN(VersaPro!O78)=0,"",CHAR(10)&amp;"key *W-*A-*S-*C-m"&amp;MOD(ROW()-8,14)&amp;"-"&amp;VersaPro!O$75&amp;" = *W-*A-*S-*C-"&amp;VersaPro!O78&amp;" #")</f>
        <v/>
      </c>
      <c r="P78" s="1" t="str">
        <f>IF(LEN(VersaPro!P78)=0,"",CHAR(10)&amp;"key *W-*A-*S-*C-m"&amp;MOD(ROW()-8,14)&amp;"-"&amp;VersaPro!P$75&amp;" = *W-*A-*S-*C-"&amp;VersaPro!P78&amp;" #")</f>
        <v/>
      </c>
      <c r="Q78" s="1" t="str">
        <f>IF(LEN(VersaPro!Q78)=0,"",CHAR(10)&amp;"key *W-*A-*S-*C-m"&amp;MOD(ROW()-8,14)&amp;"-"&amp;VersaPro!Q$75&amp;" = *W-*A-*S-*C-"&amp;VersaPro!Q78&amp;" #")</f>
        <v/>
      </c>
      <c r="R78" s="1" t="str">
        <f>IF(LEN(VersaPro!R78)=0,"",CHAR(10)&amp;"key *W-*A-*S-*C-m"&amp;MOD(ROW()-8,14)&amp;"-"&amp;VersaPro!R$75&amp;" = *W-*A-*S-*C-"&amp;VersaPro!R78&amp;" #")</f>
        <v/>
      </c>
    </row>
    <row r="79" spans="1:18" x14ac:dyDescent="0.7">
      <c r="A79" s="1" t="str">
        <f t="shared" si="5"/>
        <v># mod1</v>
      </c>
      <c r="B79" s="1" t="str">
        <f>IF(LEN(VersaPro!B79)=0,"",CHAR(10)&amp;"key *W-*A-*S-*C-m"&amp;MOD(ROW()-8,14)&amp;"-"&amp;VersaPro!B$75&amp;" = *W-*A-*S-*C-"&amp;VersaPro!B79&amp;" #")</f>
        <v/>
      </c>
      <c r="C79" s="1" t="str">
        <f>IF(LEN(VersaPro!C79)=0,"",CHAR(10)&amp;"key *W-*A-*S-*C-m"&amp;MOD(ROW()-8,14)&amp;"-"&amp;VersaPro!C$75&amp;" = *W-*A-*S-*C-"&amp;VersaPro!C79&amp;" #")</f>
        <v/>
      </c>
      <c r="D79" s="1" t="str">
        <f>IF(LEN(VersaPro!D79)=0,"",CHAR(10)&amp;"key *W-*A-*S-*C-m"&amp;MOD(ROW()-8,14)&amp;"-"&amp;VersaPro!D$75&amp;" = *W-*A-*S-*C-"&amp;VersaPro!D79&amp;" #")</f>
        <v/>
      </c>
      <c r="E79" s="1" t="str">
        <f>IF(LEN(VersaPro!E79)=0,"",CHAR(10)&amp;"key *W-*A-*S-*C-m"&amp;MOD(ROW()-8,14)&amp;"-"&amp;VersaPro!E$75&amp;" = *W-*A-*S-*C-"&amp;VersaPro!E79&amp;" #")</f>
        <v/>
      </c>
      <c r="F79" s="1" t="str">
        <f>IF(LEN(VersaPro!F79)=0,"",CHAR(10)&amp;"key *W-*A-*S-*C-m"&amp;MOD(ROW()-8,14)&amp;"-"&amp;VersaPro!F$75&amp;" = *W-*A-*S-*C-"&amp;VersaPro!F79&amp;" #")</f>
        <v/>
      </c>
      <c r="G79" s="1" t="str">
        <f>IF(LEN(VersaPro!G79)=0,"",CHAR(10)&amp;"key *W-*A-*S-*C-m"&amp;MOD(ROW()-8,14)&amp;"-"&amp;VersaPro!G$75&amp;" = *W-*A-*S-*C-"&amp;VersaPro!G79&amp;" #")</f>
        <v/>
      </c>
      <c r="H79" s="1" t="str">
        <f>IF(LEN(VersaPro!H79)=0,"",CHAR(10)&amp;"key *W-*A-*S-*C-m"&amp;MOD(ROW()-8,14)&amp;"-"&amp;VersaPro!H$75&amp;" = *W-*A-*S-*C-"&amp;VersaPro!H79&amp;" #")</f>
        <v/>
      </c>
      <c r="I79" s="1" t="str">
        <f>IF(LEN(VersaPro!I79)=0,"",CHAR(10)&amp;"key *W-*A-*S-*C-m"&amp;MOD(ROW()-8,14)&amp;"-"&amp;VersaPro!I$75&amp;" = *W-*A-*S-*C-"&amp;VersaPro!I79&amp;" #")</f>
        <v/>
      </c>
      <c r="J79" s="1" t="str">
        <f>IF(LEN(VersaPro!J79)=0,"",CHAR(10)&amp;"key *W-*A-*S-*C-m"&amp;MOD(ROW()-8,14)&amp;"-"&amp;VersaPro!J$75&amp;" = *W-*A-*S-*C-"&amp;VersaPro!J79&amp;" #")</f>
        <v/>
      </c>
      <c r="K79" s="1" t="str">
        <f>IF(LEN(VersaPro!K79)=0,"",CHAR(10)&amp;"key *W-*A-*S-*C-m"&amp;MOD(ROW()-8,14)&amp;"-"&amp;VersaPro!K$75&amp;" = *W-*A-*S-*C-"&amp;VersaPro!K79&amp;" #")</f>
        <v/>
      </c>
      <c r="L79" s="1" t="str">
        <f>IF(LEN(VersaPro!L79)=0,"",CHAR(10)&amp;"key *W-*A-*S-*C-m"&amp;MOD(ROW()-8,14)&amp;"-"&amp;VersaPro!L$75&amp;" = *W-*A-*S-*C-"&amp;VersaPro!L79&amp;" #")</f>
        <v/>
      </c>
      <c r="M79" s="1" t="str">
        <f>IF(LEN(VersaPro!M79)=0,"",CHAR(10)&amp;"key *W-*A-*S-*C-m"&amp;MOD(ROW()-8,14)&amp;"-"&amp;VersaPro!M$75&amp;" = *W-*A-*S-*C-"&amp;VersaPro!M79&amp;" #")</f>
        <v/>
      </c>
      <c r="N79" s="1" t="str">
        <f>IF(LEN(VersaPro!N79)=0,"",CHAR(10)&amp;"key *W-*A-*S-*C-m"&amp;MOD(ROW()-8,14)&amp;"-"&amp;VersaPro!N$75&amp;" = *W-*A-*S-*C-"&amp;VersaPro!N79&amp;" #")</f>
        <v/>
      </c>
      <c r="O79" s="1" t="str">
        <f>IF(LEN(VersaPro!O79)=0,"",CHAR(10)&amp;"key *W-*A-*S-*C-m"&amp;MOD(ROW()-8,14)&amp;"-"&amp;VersaPro!O$75&amp;" = *W-*A-*S-*C-"&amp;VersaPro!O79&amp;" #")</f>
        <v/>
      </c>
      <c r="P79" s="1" t="str">
        <f>IF(LEN(VersaPro!P79)=0,"",CHAR(10)&amp;"key *W-*A-*S-*C-m"&amp;MOD(ROW()-8,14)&amp;"-"&amp;VersaPro!P$75&amp;" = *W-*A-*S-*C-"&amp;VersaPro!P79&amp;" #")</f>
        <v/>
      </c>
      <c r="Q79" s="1" t="str">
        <f>IF(LEN(VersaPro!Q79)=0,"",CHAR(10)&amp;"key *W-*A-*S-*C-m"&amp;MOD(ROW()-8,14)&amp;"-"&amp;VersaPro!Q$75&amp;" = *W-*A-*S-*C-"&amp;VersaPro!Q79&amp;" #")</f>
        <v/>
      </c>
      <c r="R79" s="1" t="str">
        <f>IF(LEN(VersaPro!R79)=0,"",CHAR(10)&amp;"key *W-*A-*S-*C-m"&amp;MOD(ROW()-8,14)&amp;"-"&amp;VersaPro!R$75&amp;" = *W-*A-*S-*C-"&amp;VersaPro!R79&amp;" #")</f>
        <v/>
      </c>
    </row>
    <row r="80" spans="1:18" x14ac:dyDescent="0.7">
      <c r="A80" s="1" t="str">
        <f t="shared" si="5"/>
        <v># mod2</v>
      </c>
      <c r="B80" s="1" t="str">
        <f>IF(LEN(VersaPro!B80)=0,"",CHAR(10)&amp;"key *W-*A-*S-*C-m"&amp;MOD(ROW()-8,14)&amp;"-"&amp;VersaPro!B$75&amp;" = *W-*A-*S-*C-"&amp;VersaPro!B80&amp;" #")</f>
        <v/>
      </c>
      <c r="C80" s="1" t="str">
        <f>IF(LEN(VersaPro!C80)=0,"",CHAR(10)&amp;"key *W-*A-*S-*C-m"&amp;MOD(ROW()-8,14)&amp;"-"&amp;VersaPro!C$75&amp;" = *W-*A-*S-*C-"&amp;VersaPro!C80&amp;" #")</f>
        <v/>
      </c>
      <c r="D80" s="1" t="str">
        <f>IF(LEN(VersaPro!D80)=0,"",CHAR(10)&amp;"key *W-*A-*S-*C-m"&amp;MOD(ROW()-8,14)&amp;"-"&amp;VersaPro!D$75&amp;" = *W-*A-*S-*C-"&amp;VersaPro!D80&amp;" #")</f>
        <v/>
      </c>
      <c r="E80" s="1" t="str">
        <f>IF(LEN(VersaPro!E80)=0,"",CHAR(10)&amp;"key *W-*A-*S-*C-m"&amp;MOD(ROW()-8,14)&amp;"-"&amp;VersaPro!E$75&amp;" = *W-*A-*S-*C-"&amp;VersaPro!E80&amp;" #")</f>
        <v/>
      </c>
      <c r="F80" s="1" t="str">
        <f>IF(LEN(VersaPro!F80)=0,"",CHAR(10)&amp;"key *W-*A-*S-*C-m"&amp;MOD(ROW()-8,14)&amp;"-"&amp;VersaPro!F$75&amp;" = *W-*A-*S-*C-"&amp;VersaPro!F80&amp;" #")</f>
        <v/>
      </c>
      <c r="G80" s="1" t="str">
        <f>IF(LEN(VersaPro!G80)=0,"",CHAR(10)&amp;"key *W-*A-*S-*C-m"&amp;MOD(ROW()-8,14)&amp;"-"&amp;VersaPro!G$75&amp;" = *W-*A-*S-*C-"&amp;VersaPro!G80&amp;" #")</f>
        <v/>
      </c>
      <c r="H80" s="1" t="str">
        <f>IF(LEN(VersaPro!H80)=0,"",CHAR(10)&amp;"key *W-*A-*S-*C-m"&amp;MOD(ROW()-8,14)&amp;"-"&amp;VersaPro!H$75&amp;" = *W-*A-*S-*C-"&amp;VersaPro!H80&amp;" #")</f>
        <v/>
      </c>
      <c r="I80" s="1" t="str">
        <f>IF(LEN(VersaPro!I80)=0,"",CHAR(10)&amp;"key *W-*A-*S-*C-m"&amp;MOD(ROW()-8,14)&amp;"-"&amp;VersaPro!I$75&amp;" = *W-*A-*S-*C-"&amp;VersaPro!I80&amp;" #")</f>
        <v/>
      </c>
      <c r="J80" s="1" t="str">
        <f>IF(LEN(VersaPro!J80)=0,"",CHAR(10)&amp;"key *W-*A-*S-*C-m"&amp;MOD(ROW()-8,14)&amp;"-"&amp;VersaPro!J$75&amp;" = *W-*A-*S-*C-"&amp;VersaPro!J80&amp;" #")</f>
        <v/>
      </c>
      <c r="K80" s="1" t="str">
        <f>IF(LEN(VersaPro!K80)=0,"",CHAR(10)&amp;"key *W-*A-*S-*C-m"&amp;MOD(ROW()-8,14)&amp;"-"&amp;VersaPro!K$75&amp;" = *W-*A-*S-*C-"&amp;VersaPro!K80&amp;" #")</f>
        <v/>
      </c>
      <c r="L80" s="1" t="str">
        <f>IF(LEN(VersaPro!L80)=0,"",CHAR(10)&amp;"key *W-*A-*S-*C-m"&amp;MOD(ROW()-8,14)&amp;"-"&amp;VersaPro!L$75&amp;" = *W-*A-*S-*C-"&amp;VersaPro!L80&amp;" #")</f>
        <v/>
      </c>
      <c r="M80" s="1" t="str">
        <f>IF(LEN(VersaPro!M80)=0,"",CHAR(10)&amp;"key *W-*A-*S-*C-m"&amp;MOD(ROW()-8,14)&amp;"-"&amp;VersaPro!M$75&amp;" = *W-*A-*S-*C-"&amp;VersaPro!M80&amp;" #")</f>
        <v/>
      </c>
      <c r="N80" s="1" t="str">
        <f>IF(LEN(VersaPro!N80)=0,"",CHAR(10)&amp;"key *W-*A-*S-*C-m"&amp;MOD(ROW()-8,14)&amp;"-"&amp;VersaPro!N$75&amp;" = *W-*A-*S-*C-"&amp;VersaPro!N80&amp;" #")</f>
        <v/>
      </c>
      <c r="O80" s="1" t="str">
        <f>IF(LEN(VersaPro!O80)=0,"",CHAR(10)&amp;"key *W-*A-*S-*C-m"&amp;MOD(ROW()-8,14)&amp;"-"&amp;VersaPro!O$75&amp;" = *W-*A-*S-*C-"&amp;VersaPro!O80&amp;" #")</f>
        <v/>
      </c>
      <c r="P80" s="1" t="str">
        <f>IF(LEN(VersaPro!P80)=0,"",CHAR(10)&amp;"key *W-*A-*S-*C-m"&amp;MOD(ROW()-8,14)&amp;"-"&amp;VersaPro!P$75&amp;" = *W-*A-*S-*C-"&amp;VersaPro!P80&amp;" #")</f>
        <v/>
      </c>
      <c r="Q80" s="1" t="str">
        <f>IF(LEN(VersaPro!Q80)=0,"",CHAR(10)&amp;"key *W-*A-*S-*C-m"&amp;MOD(ROW()-8,14)&amp;"-"&amp;VersaPro!Q$75&amp;" = *W-*A-*S-*C-"&amp;VersaPro!Q80&amp;" #")</f>
        <v/>
      </c>
      <c r="R80" s="1" t="str">
        <f>IF(LEN(VersaPro!R80)=0,"",CHAR(10)&amp;"key *W-*A-*S-*C-m"&amp;MOD(ROW()-8,14)&amp;"-"&amp;VersaPro!R$75&amp;" = *W-*A-*S-*C-"&amp;VersaPro!R80&amp;" #")</f>
        <v/>
      </c>
    </row>
    <row r="81" spans="1:18" x14ac:dyDescent="0.7">
      <c r="A81" s="1" t="str">
        <f t="shared" si="5"/>
        <v># mod3</v>
      </c>
      <c r="B81" s="1" t="str">
        <f>IF(LEN(VersaPro!B81)=0,"",CHAR(10)&amp;"key *W-*A-*S-*C-m"&amp;MOD(ROW()-8,14)&amp;"-"&amp;VersaPro!B$75&amp;" = *W-*A-*S-*C-"&amp;VersaPro!B81&amp;" #")</f>
        <v/>
      </c>
      <c r="C81" s="1" t="str">
        <f>IF(LEN(VersaPro!C81)=0,"",CHAR(10)&amp;"key *W-*A-*S-*C-m"&amp;MOD(ROW()-8,14)&amp;"-"&amp;VersaPro!C$75&amp;" = *W-*A-*S-*C-"&amp;VersaPro!C81&amp;" #")</f>
        <v/>
      </c>
      <c r="D81" s="1" t="str">
        <f>IF(LEN(VersaPro!D81)=0,"",CHAR(10)&amp;"key *W-*A-*S-*C-m"&amp;MOD(ROW()-8,14)&amp;"-"&amp;VersaPro!D$75&amp;" = *W-*A-*S-*C-"&amp;VersaPro!D81&amp;" #")</f>
        <v/>
      </c>
      <c r="E81" s="1" t="str">
        <f>IF(LEN(VersaPro!E81)=0,"",CHAR(10)&amp;"key *W-*A-*S-*C-m"&amp;MOD(ROW()-8,14)&amp;"-"&amp;VersaPro!E$75&amp;" = *W-*A-*S-*C-"&amp;VersaPro!E81&amp;" #")</f>
        <v/>
      </c>
      <c r="F81" s="1" t="str">
        <f>IF(LEN(VersaPro!F81)=0,"",CHAR(10)&amp;"key *W-*A-*S-*C-m"&amp;MOD(ROW()-8,14)&amp;"-"&amp;VersaPro!F$75&amp;" = *W-*A-*S-*C-"&amp;VersaPro!F81&amp;" #")</f>
        <v/>
      </c>
      <c r="G81" s="1" t="str">
        <f>IF(LEN(VersaPro!G81)=0,"",CHAR(10)&amp;"key *W-*A-*S-*C-m"&amp;MOD(ROW()-8,14)&amp;"-"&amp;VersaPro!G$75&amp;" = *W-*A-*S-*C-"&amp;VersaPro!G81&amp;" #")</f>
        <v/>
      </c>
      <c r="H81" s="1" t="str">
        <f>IF(LEN(VersaPro!H81)=0,"",CHAR(10)&amp;"key *W-*A-*S-*C-m"&amp;MOD(ROW()-8,14)&amp;"-"&amp;VersaPro!H$75&amp;" = *W-*A-*S-*C-"&amp;VersaPro!H81&amp;" #")</f>
        <v/>
      </c>
      <c r="I81" s="1" t="str">
        <f>IF(LEN(VersaPro!I81)=0,"",CHAR(10)&amp;"key *W-*A-*S-*C-m"&amp;MOD(ROW()-8,14)&amp;"-"&amp;VersaPro!I$75&amp;" = *W-*A-*S-*C-"&amp;VersaPro!I81&amp;" #")</f>
        <v/>
      </c>
      <c r="J81" s="1" t="str">
        <f>IF(LEN(VersaPro!J81)=0,"",CHAR(10)&amp;"key *W-*A-*S-*C-m"&amp;MOD(ROW()-8,14)&amp;"-"&amp;VersaPro!J$75&amp;" = *W-*A-*S-*C-"&amp;VersaPro!J81&amp;" #")</f>
        <v/>
      </c>
      <c r="K81" s="1" t="str">
        <f>IF(LEN(VersaPro!K81)=0,"",CHAR(10)&amp;"key *W-*A-*S-*C-m"&amp;MOD(ROW()-8,14)&amp;"-"&amp;VersaPro!K$75&amp;" = *W-*A-*S-*C-"&amp;VersaPro!K81&amp;" #")</f>
        <v/>
      </c>
      <c r="L81" s="1" t="str">
        <f>IF(LEN(VersaPro!L81)=0,"",CHAR(10)&amp;"key *W-*A-*S-*C-m"&amp;MOD(ROW()-8,14)&amp;"-"&amp;VersaPro!L$75&amp;" = *W-*A-*S-*C-"&amp;VersaPro!L81&amp;" #")</f>
        <v/>
      </c>
      <c r="M81" s="1" t="str">
        <f>IF(LEN(VersaPro!M81)=0,"",CHAR(10)&amp;"key *W-*A-*S-*C-m"&amp;MOD(ROW()-8,14)&amp;"-"&amp;VersaPro!M$75&amp;" = *W-*A-*S-*C-"&amp;VersaPro!M81&amp;" #")</f>
        <v/>
      </c>
      <c r="N81" s="1" t="str">
        <f>IF(LEN(VersaPro!N81)=0,"",CHAR(10)&amp;"key *W-*A-*S-*C-m"&amp;MOD(ROW()-8,14)&amp;"-"&amp;VersaPro!N$75&amp;" = *W-*A-*S-*C-"&amp;VersaPro!N81&amp;" #")</f>
        <v/>
      </c>
      <c r="O81" s="1" t="str">
        <f>IF(LEN(VersaPro!O81)=0,"",CHAR(10)&amp;"key *W-*A-*S-*C-m"&amp;MOD(ROW()-8,14)&amp;"-"&amp;VersaPro!O$75&amp;" = *W-*A-*S-*C-"&amp;VersaPro!O81&amp;" #")</f>
        <v/>
      </c>
      <c r="P81" s="1" t="str">
        <f>IF(LEN(VersaPro!P81)=0,"",CHAR(10)&amp;"key *W-*A-*S-*C-m"&amp;MOD(ROW()-8,14)&amp;"-"&amp;VersaPro!P$75&amp;" = *W-*A-*S-*C-"&amp;VersaPro!P81&amp;" #")</f>
        <v/>
      </c>
      <c r="Q81" s="1" t="str">
        <f>IF(LEN(VersaPro!Q81)=0,"",CHAR(10)&amp;"key *W-*A-*S-*C-m"&amp;MOD(ROW()-8,14)&amp;"-"&amp;VersaPro!Q$75&amp;" = *W-*A-*S-*C-"&amp;VersaPro!Q81&amp;" #")</f>
        <v/>
      </c>
      <c r="R81" s="1" t="str">
        <f>IF(LEN(VersaPro!R81)=0,"",CHAR(10)&amp;"key *W-*A-*S-*C-m"&amp;MOD(ROW()-8,14)&amp;"-"&amp;VersaPro!R$75&amp;" = *W-*A-*S-*C-"&amp;VersaPro!R81&amp;" #")</f>
        <v/>
      </c>
    </row>
    <row r="82" spans="1:18" x14ac:dyDescent="0.7">
      <c r="A82" s="1" t="str">
        <f t="shared" si="5"/>
        <v># mod4</v>
      </c>
      <c r="B82" s="1" t="str">
        <f>IF(LEN(VersaPro!B82)=0,"",CHAR(10)&amp;"key *W-*A-*S-*C-m"&amp;MOD(ROW()-8,14)&amp;"-"&amp;VersaPro!B$75&amp;" = *W-*A-*S-*C-"&amp;VersaPro!B82&amp;" #")</f>
        <v/>
      </c>
      <c r="C82" s="1" t="str">
        <f>IF(LEN(VersaPro!C82)=0,"",CHAR(10)&amp;"key *W-*A-*S-*C-m"&amp;MOD(ROW()-8,14)&amp;"-"&amp;VersaPro!C$75&amp;" = *W-*A-*S-*C-"&amp;VersaPro!C82&amp;" #")</f>
        <v/>
      </c>
      <c r="D82" s="1" t="str">
        <f>IF(LEN(VersaPro!D82)=0,"",CHAR(10)&amp;"key *W-*A-*S-*C-m"&amp;MOD(ROW()-8,14)&amp;"-"&amp;VersaPro!D$75&amp;" = *W-*A-*S-*C-"&amp;VersaPro!D82&amp;" #")</f>
        <v/>
      </c>
      <c r="E82" s="1" t="str">
        <f>IF(LEN(VersaPro!E82)=0,"",CHAR(10)&amp;"key *W-*A-*S-*C-m"&amp;MOD(ROW()-8,14)&amp;"-"&amp;VersaPro!E$75&amp;" = *W-*A-*S-*C-"&amp;VersaPro!E82&amp;" #")</f>
        <v/>
      </c>
      <c r="F82" s="1" t="str">
        <f>IF(LEN(VersaPro!F82)=0,"",CHAR(10)&amp;"key *W-*A-*S-*C-m"&amp;MOD(ROW()-8,14)&amp;"-"&amp;VersaPro!F$75&amp;" = *W-*A-*S-*C-"&amp;VersaPro!F82&amp;" #")</f>
        <v/>
      </c>
      <c r="G82" s="1" t="str">
        <f>IF(LEN(VersaPro!G82)=0,"",CHAR(10)&amp;"key *W-*A-*S-*C-m"&amp;MOD(ROW()-8,14)&amp;"-"&amp;VersaPro!G$75&amp;" = *W-*A-*S-*C-"&amp;VersaPro!G82&amp;" #")</f>
        <v/>
      </c>
      <c r="H82" s="1" t="str">
        <f>IF(LEN(VersaPro!H82)=0,"",CHAR(10)&amp;"key *W-*A-*S-*C-m"&amp;MOD(ROW()-8,14)&amp;"-"&amp;VersaPro!H$75&amp;" = *W-*A-*S-*C-"&amp;VersaPro!H82&amp;" #")</f>
        <v/>
      </c>
      <c r="I82" s="1" t="str">
        <f>IF(LEN(VersaPro!I82)=0,"",CHAR(10)&amp;"key *W-*A-*S-*C-m"&amp;MOD(ROW()-8,14)&amp;"-"&amp;VersaPro!I$75&amp;" = *W-*A-*S-*C-"&amp;VersaPro!I82&amp;" #")</f>
        <v/>
      </c>
      <c r="J82" s="1" t="str">
        <f>IF(LEN(VersaPro!J82)=0,"",CHAR(10)&amp;"key *W-*A-*S-*C-m"&amp;MOD(ROW()-8,14)&amp;"-"&amp;VersaPro!J$75&amp;" = *W-*A-*S-*C-"&amp;VersaPro!J82&amp;" #")</f>
        <v/>
      </c>
      <c r="K82" s="1" t="str">
        <f>IF(LEN(VersaPro!K82)=0,"",CHAR(10)&amp;"key *W-*A-*S-*C-m"&amp;MOD(ROW()-8,14)&amp;"-"&amp;VersaPro!K$75&amp;" = *W-*A-*S-*C-"&amp;VersaPro!K82&amp;" #")</f>
        <v/>
      </c>
      <c r="L82" s="1" t="str">
        <f>IF(LEN(VersaPro!L82)=0,"",CHAR(10)&amp;"key *W-*A-*S-*C-m"&amp;MOD(ROW()-8,14)&amp;"-"&amp;VersaPro!L$75&amp;" = *W-*A-*S-*C-"&amp;VersaPro!L82&amp;" #")</f>
        <v/>
      </c>
      <c r="M82" s="1" t="str">
        <f>IF(LEN(VersaPro!M82)=0,"",CHAR(10)&amp;"key *W-*A-*S-*C-m"&amp;MOD(ROW()-8,14)&amp;"-"&amp;VersaPro!M$75&amp;" = *W-*A-*S-*C-"&amp;VersaPro!M82&amp;" #")</f>
        <v/>
      </c>
      <c r="N82" s="1" t="str">
        <f>IF(LEN(VersaPro!N82)=0,"",CHAR(10)&amp;"key *W-*A-*S-*C-m"&amp;MOD(ROW()-8,14)&amp;"-"&amp;VersaPro!N$75&amp;" = *W-*A-*S-*C-"&amp;VersaPro!N82&amp;" #")</f>
        <v/>
      </c>
      <c r="O82" s="1" t="str">
        <f>IF(LEN(VersaPro!O82)=0,"",CHAR(10)&amp;"key *W-*A-*S-*C-m"&amp;MOD(ROW()-8,14)&amp;"-"&amp;VersaPro!O$75&amp;" = *W-*A-*S-*C-"&amp;VersaPro!O82&amp;" #")</f>
        <v/>
      </c>
      <c r="P82" s="1" t="str">
        <f>IF(LEN(VersaPro!P82)=0,"",CHAR(10)&amp;"key *W-*A-*S-*C-m"&amp;MOD(ROW()-8,14)&amp;"-"&amp;VersaPro!P$75&amp;" = *W-*A-*S-*C-"&amp;VersaPro!P82&amp;" #")</f>
        <v/>
      </c>
      <c r="Q82" s="1" t="str">
        <f>IF(LEN(VersaPro!Q82)=0,"",CHAR(10)&amp;"key *W-*A-*S-*C-m"&amp;MOD(ROW()-8,14)&amp;"-"&amp;VersaPro!Q$75&amp;" = *W-*A-*S-*C-"&amp;VersaPro!Q82&amp;" #")</f>
        <v/>
      </c>
      <c r="R82" s="1" t="str">
        <f>IF(LEN(VersaPro!R82)=0,"",CHAR(10)&amp;"key *W-*A-*S-*C-m"&amp;MOD(ROW()-8,14)&amp;"-"&amp;VersaPro!R$75&amp;" = *W-*A-*S-*C-"&amp;VersaPro!R82&amp;" #")</f>
        <v/>
      </c>
    </row>
    <row r="83" spans="1:18" x14ac:dyDescent="0.7">
      <c r="A83" s="1" t="str">
        <f t="shared" si="5"/>
        <v># mod5</v>
      </c>
      <c r="B83" s="1" t="str">
        <f>IF(LEN(VersaPro!B83)=0,"",CHAR(10)&amp;"key *W-*A-*S-*C-m"&amp;MOD(ROW()-8,14)&amp;"-"&amp;VersaPro!B$75&amp;" = *W-*A-*S-*C-"&amp;VersaPro!B83&amp;" #")</f>
        <v/>
      </c>
      <c r="C83" s="1" t="str">
        <f>IF(LEN(VersaPro!C83)=0,"",CHAR(10)&amp;"key *W-*A-*S-*C-m"&amp;MOD(ROW()-8,14)&amp;"-"&amp;VersaPro!C$75&amp;" = *W-*A-*S-*C-"&amp;VersaPro!C83&amp;" #")</f>
        <v/>
      </c>
      <c r="D83" s="1" t="str">
        <f>IF(LEN(VersaPro!D83)=0,"",CHAR(10)&amp;"key *W-*A-*S-*C-m"&amp;MOD(ROW()-8,14)&amp;"-"&amp;VersaPro!D$75&amp;" = *W-*A-*S-*C-"&amp;VersaPro!D83&amp;" #")</f>
        <v/>
      </c>
      <c r="E83" s="1" t="str">
        <f>IF(LEN(VersaPro!E83)=0,"",CHAR(10)&amp;"key *W-*A-*S-*C-m"&amp;MOD(ROW()-8,14)&amp;"-"&amp;VersaPro!E$75&amp;" = *W-*A-*S-*C-"&amp;VersaPro!E83&amp;" #")</f>
        <v/>
      </c>
      <c r="F83" s="1" t="str">
        <f>IF(LEN(VersaPro!F83)=0,"",CHAR(10)&amp;"key *W-*A-*S-*C-m"&amp;MOD(ROW()-8,14)&amp;"-"&amp;VersaPro!F$75&amp;" = *W-*A-*S-*C-"&amp;VersaPro!F83&amp;" #")</f>
        <v/>
      </c>
      <c r="G83" s="1" t="str">
        <f>IF(LEN(VersaPro!G83)=0,"",CHAR(10)&amp;"key *W-*A-*S-*C-m"&amp;MOD(ROW()-8,14)&amp;"-"&amp;VersaPro!G$75&amp;" = *W-*A-*S-*C-"&amp;VersaPro!G83&amp;" #")</f>
        <v/>
      </c>
      <c r="H83" s="1" t="str">
        <f>IF(LEN(VersaPro!H83)=0,"",CHAR(10)&amp;"key *W-*A-*S-*C-m"&amp;MOD(ROW()-8,14)&amp;"-"&amp;VersaPro!H$75&amp;" = *W-*A-*S-*C-"&amp;VersaPro!H83&amp;" #")</f>
        <v/>
      </c>
      <c r="I83" s="1" t="str">
        <f>IF(LEN(VersaPro!I83)=0,"",CHAR(10)&amp;"key *W-*A-*S-*C-m"&amp;MOD(ROW()-8,14)&amp;"-"&amp;VersaPro!I$75&amp;" = *W-*A-*S-*C-"&amp;VersaPro!I83&amp;" #")</f>
        <v/>
      </c>
      <c r="J83" s="1" t="str">
        <f>IF(LEN(VersaPro!J83)=0,"",CHAR(10)&amp;"key *W-*A-*S-*C-m"&amp;MOD(ROW()-8,14)&amp;"-"&amp;VersaPro!J$75&amp;" = *W-*A-*S-*C-"&amp;VersaPro!J83&amp;" #")</f>
        <v/>
      </c>
      <c r="K83" s="1" t="str">
        <f>IF(LEN(VersaPro!K83)=0,"",CHAR(10)&amp;"key *W-*A-*S-*C-m"&amp;MOD(ROW()-8,14)&amp;"-"&amp;VersaPro!K$75&amp;" = *W-*A-*S-*C-"&amp;VersaPro!K83&amp;" #")</f>
        <v/>
      </c>
      <c r="L83" s="1" t="str">
        <f>IF(LEN(VersaPro!L83)=0,"",CHAR(10)&amp;"key *W-*A-*S-*C-m"&amp;MOD(ROW()-8,14)&amp;"-"&amp;VersaPro!L$75&amp;" = *W-*A-*S-*C-"&amp;VersaPro!L83&amp;" #")</f>
        <v/>
      </c>
      <c r="M83" s="1" t="str">
        <f>IF(LEN(VersaPro!M83)=0,"",CHAR(10)&amp;"key *W-*A-*S-*C-m"&amp;MOD(ROW()-8,14)&amp;"-"&amp;VersaPro!M$75&amp;" = *W-*A-*S-*C-"&amp;VersaPro!M83&amp;" #")</f>
        <v/>
      </c>
      <c r="N83" s="1" t="str">
        <f>IF(LEN(VersaPro!N83)=0,"",CHAR(10)&amp;"key *W-*A-*S-*C-m"&amp;MOD(ROW()-8,14)&amp;"-"&amp;VersaPro!N$75&amp;" = *W-*A-*S-*C-"&amp;VersaPro!N83&amp;" #")</f>
        <v/>
      </c>
      <c r="O83" s="1" t="str">
        <f>IF(LEN(VersaPro!O83)=0,"",CHAR(10)&amp;"key *W-*A-*S-*C-m"&amp;MOD(ROW()-8,14)&amp;"-"&amp;VersaPro!O$75&amp;" = *W-*A-*S-*C-"&amp;VersaPro!O83&amp;" #")</f>
        <v/>
      </c>
      <c r="P83" s="1" t="str">
        <f>IF(LEN(VersaPro!P83)=0,"",CHAR(10)&amp;"key *W-*A-*S-*C-m"&amp;MOD(ROW()-8,14)&amp;"-"&amp;VersaPro!P$75&amp;" = *W-*A-*S-*C-"&amp;VersaPro!P83&amp;" #")</f>
        <v/>
      </c>
      <c r="Q83" s="1" t="str">
        <f>IF(LEN(VersaPro!Q83)=0,"",CHAR(10)&amp;"key *W-*A-*S-*C-m"&amp;MOD(ROW()-8,14)&amp;"-"&amp;VersaPro!Q$75&amp;" = *W-*A-*S-*C-"&amp;VersaPro!Q83&amp;" #")</f>
        <v/>
      </c>
      <c r="R83" s="1" t="str">
        <f>IF(LEN(VersaPro!R83)=0,"",CHAR(10)&amp;"key *W-*A-*S-*C-m"&amp;MOD(ROW()-8,14)&amp;"-"&amp;VersaPro!R$75&amp;" = *W-*A-*S-*C-"&amp;VersaPro!R83&amp;" #")</f>
        <v/>
      </c>
    </row>
    <row r="84" spans="1:18" x14ac:dyDescent="0.7">
      <c r="A84" s="1" t="str">
        <f t="shared" si="5"/>
        <v># mod6</v>
      </c>
      <c r="B84" s="1" t="str">
        <f>IF(LEN(VersaPro!B84)=0,"",CHAR(10)&amp;"key *W-*A-*S-*C-m"&amp;MOD(ROW()-8,14)&amp;"-"&amp;VersaPro!B$75&amp;" = *W-*A-*S-*C-"&amp;VersaPro!B84&amp;" #")</f>
        <v/>
      </c>
      <c r="C84" s="1" t="str">
        <f>IF(LEN(VersaPro!C84)=0,"",CHAR(10)&amp;"key *W-*A-*S-*C-m"&amp;MOD(ROW()-8,14)&amp;"-"&amp;VersaPro!C$75&amp;" = *W-*A-*S-*C-"&amp;VersaPro!C84&amp;" #")</f>
        <v/>
      </c>
      <c r="D84" s="1" t="str">
        <f>IF(LEN(VersaPro!D84)=0,"",CHAR(10)&amp;"key *W-*A-*S-*C-m"&amp;MOD(ROW()-8,14)&amp;"-"&amp;VersaPro!D$75&amp;" = *W-*A-*S-*C-"&amp;VersaPro!D84&amp;" #")</f>
        <v/>
      </c>
      <c r="E84" s="1" t="str">
        <f>IF(LEN(VersaPro!E84)=0,"",CHAR(10)&amp;"key *W-*A-*S-*C-m"&amp;MOD(ROW()-8,14)&amp;"-"&amp;VersaPro!E$75&amp;" = *W-*A-*S-*C-"&amp;VersaPro!E84&amp;" #")</f>
        <v/>
      </c>
      <c r="F84" s="1" t="str">
        <f>IF(LEN(VersaPro!F84)=0,"",CHAR(10)&amp;"key *W-*A-*S-*C-m"&amp;MOD(ROW()-8,14)&amp;"-"&amp;VersaPro!F$75&amp;" = *W-*A-*S-*C-"&amp;VersaPro!F84&amp;" #")</f>
        <v/>
      </c>
      <c r="G84" s="1" t="str">
        <f>IF(LEN(VersaPro!G84)=0,"",CHAR(10)&amp;"key *W-*A-*S-*C-m"&amp;MOD(ROW()-8,14)&amp;"-"&amp;VersaPro!G$75&amp;" = *W-*A-*S-*C-"&amp;VersaPro!G84&amp;" #")</f>
        <v/>
      </c>
      <c r="H84" s="1" t="str">
        <f>IF(LEN(VersaPro!H84)=0,"",CHAR(10)&amp;"key *W-*A-*S-*C-m"&amp;MOD(ROW()-8,14)&amp;"-"&amp;VersaPro!H$75&amp;" = *W-*A-*S-*C-"&amp;VersaPro!H84&amp;" #")</f>
        <v/>
      </c>
      <c r="I84" s="1" t="str">
        <f>IF(LEN(VersaPro!I84)=0,"",CHAR(10)&amp;"key *W-*A-*S-*C-m"&amp;MOD(ROW()-8,14)&amp;"-"&amp;VersaPro!I$75&amp;" = *W-*A-*S-*C-"&amp;VersaPro!I84&amp;" #")</f>
        <v/>
      </c>
      <c r="J84" s="1" t="str">
        <f>IF(LEN(VersaPro!J84)=0,"",CHAR(10)&amp;"key *W-*A-*S-*C-m"&amp;MOD(ROW()-8,14)&amp;"-"&amp;VersaPro!J$75&amp;" = *W-*A-*S-*C-"&amp;VersaPro!J84&amp;" #")</f>
        <v/>
      </c>
      <c r="K84" s="1" t="str">
        <f>IF(LEN(VersaPro!K84)=0,"",CHAR(10)&amp;"key *W-*A-*S-*C-m"&amp;MOD(ROW()-8,14)&amp;"-"&amp;VersaPro!K$75&amp;" = *W-*A-*S-*C-"&amp;VersaPro!K84&amp;" #")</f>
        <v/>
      </c>
      <c r="L84" s="1" t="str">
        <f>IF(LEN(VersaPro!L84)=0,"",CHAR(10)&amp;"key *W-*A-*S-*C-m"&amp;MOD(ROW()-8,14)&amp;"-"&amp;VersaPro!L$75&amp;" = *W-*A-*S-*C-"&amp;VersaPro!L84&amp;" #")</f>
        <v/>
      </c>
      <c r="M84" s="1" t="str">
        <f>IF(LEN(VersaPro!M84)=0,"",CHAR(10)&amp;"key *W-*A-*S-*C-m"&amp;MOD(ROW()-8,14)&amp;"-"&amp;VersaPro!M$75&amp;" = *W-*A-*S-*C-"&amp;VersaPro!M84&amp;" #")</f>
        <v/>
      </c>
      <c r="N84" s="1" t="str">
        <f>IF(LEN(VersaPro!N84)=0,"",CHAR(10)&amp;"key *W-*A-*S-*C-m"&amp;MOD(ROW()-8,14)&amp;"-"&amp;VersaPro!N$75&amp;" = *W-*A-*S-*C-"&amp;VersaPro!N84&amp;" #")</f>
        <v/>
      </c>
      <c r="O84" s="1" t="str">
        <f>IF(LEN(VersaPro!O84)=0,"",CHAR(10)&amp;"key *W-*A-*S-*C-m"&amp;MOD(ROW()-8,14)&amp;"-"&amp;VersaPro!O$75&amp;" = *W-*A-*S-*C-"&amp;VersaPro!O84&amp;" #")</f>
        <v/>
      </c>
      <c r="P84" s="1" t="str">
        <f>IF(LEN(VersaPro!P84)=0,"",CHAR(10)&amp;"key *W-*A-*S-*C-m"&amp;MOD(ROW()-8,14)&amp;"-"&amp;VersaPro!P$75&amp;" = *W-*A-*S-*C-"&amp;VersaPro!P84&amp;" #")</f>
        <v/>
      </c>
      <c r="Q84" s="1" t="str">
        <f>IF(LEN(VersaPro!Q84)=0,"",CHAR(10)&amp;"key *W-*A-*S-*C-m"&amp;MOD(ROW()-8,14)&amp;"-"&amp;VersaPro!Q$75&amp;" = *W-*A-*S-*C-"&amp;VersaPro!Q84&amp;" #")</f>
        <v/>
      </c>
      <c r="R84" s="1" t="str">
        <f>IF(LEN(VersaPro!R84)=0,"",CHAR(10)&amp;"key *W-*A-*S-*C-m"&amp;MOD(ROW()-8,14)&amp;"-"&amp;VersaPro!R$75&amp;" = *W-*A-*S-*C-"&amp;VersaPro!R84&amp;" #")</f>
        <v/>
      </c>
    </row>
    <row r="85" spans="1:18" x14ac:dyDescent="0.7">
      <c r="A85" s="1" t="str">
        <f t="shared" si="5"/>
        <v># mod7</v>
      </c>
      <c r="B85" s="1" t="str">
        <f>IF(LEN(VersaPro!B85)=0,"",CHAR(10)&amp;"key *W-*A-*S-*C-m"&amp;MOD(ROW()-8,14)&amp;"-"&amp;VersaPro!B$75&amp;" = *W-*A-*S-*C-"&amp;VersaPro!B85&amp;" #")</f>
        <v/>
      </c>
      <c r="C85" s="1" t="str">
        <f>IF(LEN(VersaPro!C85)=0,"",CHAR(10)&amp;"key *W-*A-*S-*C-m"&amp;MOD(ROW()-8,14)&amp;"-"&amp;VersaPro!C$75&amp;" = *W-*A-*S-*C-"&amp;VersaPro!C85&amp;" #")</f>
        <v/>
      </c>
      <c r="D85" s="1" t="str">
        <f>IF(LEN(VersaPro!D85)=0,"",CHAR(10)&amp;"key *W-*A-*S-*C-m"&amp;MOD(ROW()-8,14)&amp;"-"&amp;VersaPro!D$75&amp;" = *W-*A-*S-*C-"&amp;VersaPro!D85&amp;" #")</f>
        <v/>
      </c>
      <c r="E85" s="1" t="str">
        <f>IF(LEN(VersaPro!E85)=0,"",CHAR(10)&amp;"key *W-*A-*S-*C-m"&amp;MOD(ROW()-8,14)&amp;"-"&amp;VersaPro!E$75&amp;" = *W-*A-*S-*C-"&amp;VersaPro!E85&amp;" #")</f>
        <v/>
      </c>
      <c r="F85" s="1" t="str">
        <f>IF(LEN(VersaPro!F85)=0,"",CHAR(10)&amp;"key *W-*A-*S-*C-m"&amp;MOD(ROW()-8,14)&amp;"-"&amp;VersaPro!F$75&amp;" = *W-*A-*S-*C-"&amp;VersaPro!F85&amp;" #")</f>
        <v/>
      </c>
      <c r="G85" s="1" t="str">
        <f>IF(LEN(VersaPro!G85)=0,"",CHAR(10)&amp;"key *W-*A-*S-*C-m"&amp;MOD(ROW()-8,14)&amp;"-"&amp;VersaPro!G$75&amp;" = *W-*A-*S-*C-"&amp;VersaPro!G85&amp;" #")</f>
        <v/>
      </c>
      <c r="H85" s="1" t="str">
        <f>IF(LEN(VersaPro!H85)=0,"",CHAR(10)&amp;"key *W-*A-*S-*C-m"&amp;MOD(ROW()-8,14)&amp;"-"&amp;VersaPro!H$75&amp;" = *W-*A-*S-*C-"&amp;VersaPro!H85&amp;" #")</f>
        <v/>
      </c>
      <c r="I85" s="1" t="str">
        <f>IF(LEN(VersaPro!I85)=0,"",CHAR(10)&amp;"key *W-*A-*S-*C-m"&amp;MOD(ROW()-8,14)&amp;"-"&amp;VersaPro!I$75&amp;" = *W-*A-*S-*C-"&amp;VersaPro!I85&amp;" #")</f>
        <v/>
      </c>
      <c r="J85" s="1" t="str">
        <f>IF(LEN(VersaPro!J85)=0,"",CHAR(10)&amp;"key *W-*A-*S-*C-m"&amp;MOD(ROW()-8,14)&amp;"-"&amp;VersaPro!J$75&amp;" = *W-*A-*S-*C-"&amp;VersaPro!J85&amp;" #")</f>
        <v/>
      </c>
      <c r="K85" s="1" t="str">
        <f>IF(LEN(VersaPro!K85)=0,"",CHAR(10)&amp;"key *W-*A-*S-*C-m"&amp;MOD(ROW()-8,14)&amp;"-"&amp;VersaPro!K$75&amp;" = *W-*A-*S-*C-"&amp;VersaPro!K85&amp;" #")</f>
        <v/>
      </c>
      <c r="L85" s="1" t="str">
        <f>IF(LEN(VersaPro!L85)=0,"",CHAR(10)&amp;"key *W-*A-*S-*C-m"&amp;MOD(ROW()-8,14)&amp;"-"&amp;VersaPro!L$75&amp;" = *W-*A-*S-*C-"&amp;VersaPro!L85&amp;" #")</f>
        <v/>
      </c>
      <c r="M85" s="1" t="str">
        <f>IF(LEN(VersaPro!M85)=0,"",CHAR(10)&amp;"key *W-*A-*S-*C-m"&amp;MOD(ROW()-8,14)&amp;"-"&amp;VersaPro!M$75&amp;" = *W-*A-*S-*C-"&amp;VersaPro!M85&amp;" #")</f>
        <v/>
      </c>
      <c r="N85" s="1" t="str">
        <f>IF(LEN(VersaPro!N85)=0,"",CHAR(10)&amp;"key *W-*A-*S-*C-m"&amp;MOD(ROW()-8,14)&amp;"-"&amp;VersaPro!N$75&amp;" = *W-*A-*S-*C-"&amp;VersaPro!N85&amp;" #")</f>
        <v/>
      </c>
      <c r="O85" s="1" t="str">
        <f>IF(LEN(VersaPro!O85)=0,"",CHAR(10)&amp;"key *W-*A-*S-*C-m"&amp;MOD(ROW()-8,14)&amp;"-"&amp;VersaPro!O$75&amp;" = *W-*A-*S-*C-"&amp;VersaPro!O85&amp;" #")</f>
        <v/>
      </c>
      <c r="P85" s="1" t="str">
        <f>IF(LEN(VersaPro!P85)=0,"",CHAR(10)&amp;"key *W-*A-*S-*C-m"&amp;MOD(ROW()-8,14)&amp;"-"&amp;VersaPro!P$75&amp;" = *W-*A-*S-*C-"&amp;VersaPro!P85&amp;" #")</f>
        <v/>
      </c>
      <c r="Q85" s="1" t="str">
        <f>IF(LEN(VersaPro!Q85)=0,"",CHAR(10)&amp;"key *W-*A-*S-*C-m"&amp;MOD(ROW()-8,14)&amp;"-"&amp;VersaPro!Q$75&amp;" = *W-*A-*S-*C-"&amp;VersaPro!Q85&amp;" #")</f>
        <v/>
      </c>
      <c r="R85" s="1" t="str">
        <f>IF(LEN(VersaPro!R85)=0,"",CHAR(10)&amp;"key *W-*A-*S-*C-m"&amp;MOD(ROW()-8,14)&amp;"-"&amp;VersaPro!R$75&amp;" = *W-*A-*S-*C-"&amp;VersaPro!R85&amp;" #")</f>
        <v/>
      </c>
    </row>
    <row r="86" spans="1:18" x14ac:dyDescent="0.7">
      <c r="A86" s="1" t="str">
        <f t="shared" si="5"/>
        <v># mod8</v>
      </c>
      <c r="B86" s="1" t="str">
        <f>IF(LEN(VersaPro!B86)=0,"",CHAR(10)&amp;"key *W-*A-*S-*C-m"&amp;MOD(ROW()-8,14)&amp;"-"&amp;VersaPro!B$75&amp;" = *W-*A-*S-*C-"&amp;VersaPro!B86&amp;" #")</f>
        <v/>
      </c>
      <c r="C86" s="1" t="str">
        <f>IF(LEN(VersaPro!C86)=0,"",CHAR(10)&amp;"key *W-*A-*S-*C-m"&amp;MOD(ROW()-8,14)&amp;"-"&amp;VersaPro!C$75&amp;" = *W-*A-*S-*C-"&amp;VersaPro!C86&amp;" #")</f>
        <v/>
      </c>
      <c r="D86" s="1" t="str">
        <f>IF(LEN(VersaPro!D86)=0,"",CHAR(10)&amp;"key *W-*A-*S-*C-m"&amp;MOD(ROW()-8,14)&amp;"-"&amp;VersaPro!D$75&amp;" = *W-*A-*S-*C-"&amp;VersaPro!D86&amp;" #")</f>
        <v/>
      </c>
      <c r="E86" s="1" t="str">
        <f>IF(LEN(VersaPro!E86)=0,"",CHAR(10)&amp;"key *W-*A-*S-*C-m"&amp;MOD(ROW()-8,14)&amp;"-"&amp;VersaPro!E$75&amp;" = *W-*A-*S-*C-"&amp;VersaPro!E86&amp;" #")</f>
        <v/>
      </c>
      <c r="F86" s="1" t="str">
        <f>IF(LEN(VersaPro!F86)=0,"",CHAR(10)&amp;"key *W-*A-*S-*C-m"&amp;MOD(ROW()-8,14)&amp;"-"&amp;VersaPro!F$75&amp;" = *W-*A-*S-*C-"&amp;VersaPro!F86&amp;" #")</f>
        <v/>
      </c>
      <c r="G86" s="1" t="str">
        <f>IF(LEN(VersaPro!G86)=0,"",CHAR(10)&amp;"key *W-*A-*S-*C-m"&amp;MOD(ROW()-8,14)&amp;"-"&amp;VersaPro!G$75&amp;" = *W-*A-*S-*C-"&amp;VersaPro!G86&amp;" #")</f>
        <v/>
      </c>
      <c r="H86" s="1" t="str">
        <f>IF(LEN(VersaPro!H86)=0,"",CHAR(10)&amp;"key *W-*A-*S-*C-m"&amp;MOD(ROW()-8,14)&amp;"-"&amp;VersaPro!H$75&amp;" = *W-*A-*S-*C-"&amp;VersaPro!H86&amp;" #")</f>
        <v/>
      </c>
      <c r="I86" s="1" t="str">
        <f>IF(LEN(VersaPro!I86)=0,"",CHAR(10)&amp;"key *W-*A-*S-*C-m"&amp;MOD(ROW()-8,14)&amp;"-"&amp;VersaPro!I$75&amp;" = *W-*A-*S-*C-"&amp;VersaPro!I86&amp;" #")</f>
        <v/>
      </c>
      <c r="J86" s="1" t="str">
        <f>IF(LEN(VersaPro!J86)=0,"",CHAR(10)&amp;"key *W-*A-*S-*C-m"&amp;MOD(ROW()-8,14)&amp;"-"&amp;VersaPro!J$75&amp;" = *W-*A-*S-*C-"&amp;VersaPro!J86&amp;" #")</f>
        <v/>
      </c>
      <c r="K86" s="1" t="str">
        <f>IF(LEN(VersaPro!K86)=0,"",CHAR(10)&amp;"key *W-*A-*S-*C-m"&amp;MOD(ROW()-8,14)&amp;"-"&amp;VersaPro!K$75&amp;" = *W-*A-*S-*C-"&amp;VersaPro!K86&amp;" #")</f>
        <v/>
      </c>
      <c r="L86" s="1" t="str">
        <f>IF(LEN(VersaPro!L86)=0,"",CHAR(10)&amp;"key *W-*A-*S-*C-m"&amp;MOD(ROW()-8,14)&amp;"-"&amp;VersaPro!L$75&amp;" = *W-*A-*S-*C-"&amp;VersaPro!L86&amp;" #")</f>
        <v/>
      </c>
      <c r="M86" s="1" t="str">
        <f>IF(LEN(VersaPro!M86)=0,"",CHAR(10)&amp;"key *W-*A-*S-*C-m"&amp;MOD(ROW()-8,14)&amp;"-"&amp;VersaPro!M$75&amp;" = *W-*A-*S-*C-"&amp;VersaPro!M86&amp;" #")</f>
        <v/>
      </c>
      <c r="N86" s="1" t="str">
        <f>IF(LEN(VersaPro!N86)=0,"",CHAR(10)&amp;"key *W-*A-*S-*C-m"&amp;MOD(ROW()-8,14)&amp;"-"&amp;VersaPro!N$75&amp;" = *W-*A-*S-*C-"&amp;VersaPro!N86&amp;" #")</f>
        <v/>
      </c>
      <c r="O86" s="1" t="str">
        <f>IF(LEN(VersaPro!O86)=0,"",CHAR(10)&amp;"key *W-*A-*S-*C-m"&amp;MOD(ROW()-8,14)&amp;"-"&amp;VersaPro!O$75&amp;" = *W-*A-*S-*C-"&amp;VersaPro!O86&amp;" #")</f>
        <v/>
      </c>
      <c r="P86" s="1" t="str">
        <f>IF(LEN(VersaPro!P86)=0,"",CHAR(10)&amp;"key *W-*A-*S-*C-m"&amp;MOD(ROW()-8,14)&amp;"-"&amp;VersaPro!P$75&amp;" = *W-*A-*S-*C-"&amp;VersaPro!P86&amp;" #")</f>
        <v/>
      </c>
      <c r="Q86" s="1" t="str">
        <f>IF(LEN(VersaPro!Q86)=0,"",CHAR(10)&amp;"key *W-*A-*S-*C-m"&amp;MOD(ROW()-8,14)&amp;"-"&amp;VersaPro!Q$75&amp;" = *W-*A-*S-*C-"&amp;VersaPro!Q86&amp;" #")</f>
        <v/>
      </c>
      <c r="R86" s="1" t="str">
        <f>IF(LEN(VersaPro!R86)=0,"",CHAR(10)&amp;"key *W-*A-*S-*C-m"&amp;MOD(ROW()-8,14)&amp;"-"&amp;VersaPro!R$75&amp;" = *W-*A-*S-*C-"&amp;VersaPro!R86&amp;" #")</f>
        <v/>
      </c>
    </row>
    <row r="87" spans="1:18" x14ac:dyDescent="0.7">
      <c r="A87" s="1" t="str">
        <f t="shared" si="5"/>
        <v># mod9</v>
      </c>
      <c r="B87" s="1" t="str">
        <f>IF(LEN(VersaPro!B87)=0,"",CHAR(10)&amp;"key *W-*A-*S-*C-m"&amp;MOD(ROW()-8,14)&amp;"-"&amp;VersaPro!B$75&amp;" = *W-*A-*S-*C-"&amp;VersaPro!B87&amp;" #")</f>
        <v/>
      </c>
      <c r="C87" s="1" t="str">
        <f>IF(LEN(VersaPro!C87)=0,"",CHAR(10)&amp;"key *W-*A-*S-*C-m"&amp;MOD(ROW()-8,14)&amp;"-"&amp;VersaPro!C$75&amp;" = *W-*A-*S-*C-"&amp;VersaPro!C87&amp;" #")</f>
        <v/>
      </c>
      <c r="D87" s="1" t="str">
        <f>IF(LEN(VersaPro!D87)=0,"",CHAR(10)&amp;"key *W-*A-*S-*C-m"&amp;MOD(ROW()-8,14)&amp;"-"&amp;VersaPro!D$75&amp;" = *W-*A-*S-*C-"&amp;VersaPro!D87&amp;" #")</f>
        <v/>
      </c>
      <c r="E87" s="1" t="str">
        <f>IF(LEN(VersaPro!E87)=0,"",CHAR(10)&amp;"key *W-*A-*S-*C-m"&amp;MOD(ROW()-8,14)&amp;"-"&amp;VersaPro!E$75&amp;" = *W-*A-*S-*C-"&amp;VersaPro!E87&amp;" #")</f>
        <v/>
      </c>
      <c r="F87" s="1" t="str">
        <f>IF(LEN(VersaPro!F87)=0,"",CHAR(10)&amp;"key *W-*A-*S-*C-m"&amp;MOD(ROW()-8,14)&amp;"-"&amp;VersaPro!F$75&amp;" = *W-*A-*S-*C-"&amp;VersaPro!F87&amp;" #")</f>
        <v/>
      </c>
      <c r="G87" s="1" t="str">
        <f>IF(LEN(VersaPro!G87)=0,"",CHAR(10)&amp;"key *W-*A-*S-*C-m"&amp;MOD(ROW()-8,14)&amp;"-"&amp;VersaPro!G$75&amp;" = *W-*A-*S-*C-"&amp;VersaPro!G87&amp;" #")</f>
        <v/>
      </c>
      <c r="H87" s="1" t="str">
        <f>IF(LEN(VersaPro!H87)=0,"",CHAR(10)&amp;"key *W-*A-*S-*C-m"&amp;MOD(ROW()-8,14)&amp;"-"&amp;VersaPro!H$75&amp;" = *W-*A-*S-*C-"&amp;VersaPro!H87&amp;" #")</f>
        <v/>
      </c>
      <c r="I87" s="1" t="str">
        <f>IF(LEN(VersaPro!I87)=0,"",CHAR(10)&amp;"key *W-*A-*S-*C-m"&amp;MOD(ROW()-8,14)&amp;"-"&amp;VersaPro!I$75&amp;" = *W-*A-*S-*C-"&amp;VersaPro!I87&amp;" #")</f>
        <v/>
      </c>
      <c r="J87" s="1" t="str">
        <f>IF(LEN(VersaPro!J87)=0,"",CHAR(10)&amp;"key *W-*A-*S-*C-m"&amp;MOD(ROW()-8,14)&amp;"-"&amp;VersaPro!J$75&amp;" = *W-*A-*S-*C-"&amp;VersaPro!J87&amp;" #")</f>
        <v/>
      </c>
      <c r="K87" s="1" t="str">
        <f>IF(LEN(VersaPro!K87)=0,"",CHAR(10)&amp;"key *W-*A-*S-*C-m"&amp;MOD(ROW()-8,14)&amp;"-"&amp;VersaPro!K$75&amp;" = *W-*A-*S-*C-"&amp;VersaPro!K87&amp;" #")</f>
        <v/>
      </c>
      <c r="L87" s="1" t="str">
        <f>IF(LEN(VersaPro!L87)=0,"",CHAR(10)&amp;"key *W-*A-*S-*C-m"&amp;MOD(ROW()-8,14)&amp;"-"&amp;VersaPro!L$75&amp;" = *W-*A-*S-*C-"&amp;VersaPro!L87&amp;" #")</f>
        <v/>
      </c>
      <c r="M87" s="1" t="str">
        <f>IF(LEN(VersaPro!M87)=0,"",CHAR(10)&amp;"key *W-*A-*S-*C-m"&amp;MOD(ROW()-8,14)&amp;"-"&amp;VersaPro!M$75&amp;" = *W-*A-*S-*C-"&amp;VersaPro!M87&amp;" #")</f>
        <v/>
      </c>
      <c r="N87" s="1" t="str">
        <f>IF(LEN(VersaPro!N87)=0,"",CHAR(10)&amp;"key *W-*A-*S-*C-m"&amp;MOD(ROW()-8,14)&amp;"-"&amp;VersaPro!N$75&amp;" = *W-*A-*S-*C-"&amp;VersaPro!N87&amp;" #")</f>
        <v/>
      </c>
      <c r="O87" s="1" t="str">
        <f>IF(LEN(VersaPro!O87)=0,"",CHAR(10)&amp;"key *W-*A-*S-*C-m"&amp;MOD(ROW()-8,14)&amp;"-"&amp;VersaPro!O$75&amp;" = *W-*A-*S-*C-"&amp;VersaPro!O87&amp;" #")</f>
        <v/>
      </c>
      <c r="P87" s="1" t="str">
        <f>IF(LEN(VersaPro!P87)=0,"",CHAR(10)&amp;"key *W-*A-*S-*C-m"&amp;MOD(ROW()-8,14)&amp;"-"&amp;VersaPro!P$75&amp;" = *W-*A-*S-*C-"&amp;VersaPro!P87&amp;" #")</f>
        <v/>
      </c>
      <c r="Q87" s="1" t="str">
        <f>IF(LEN(VersaPro!Q87)=0,"",CHAR(10)&amp;"key *W-*A-*S-*C-m"&amp;MOD(ROW()-8,14)&amp;"-"&amp;VersaPro!Q$75&amp;" = *W-*A-*S-*C-"&amp;VersaPro!Q87&amp;" #")</f>
        <v/>
      </c>
      <c r="R87" s="1" t="str">
        <f>IF(LEN(VersaPro!R87)=0,"",CHAR(10)&amp;"key *W-*A-*S-*C-m"&amp;MOD(ROW()-8,14)&amp;"-"&amp;VersaPro!R$75&amp;" = *W-*A-*S-*C-"&amp;VersaPro!R87&amp;" #")</f>
        <v/>
      </c>
    </row>
  </sheetData>
  <autoFilter ref="A4:R87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preview</vt:lpstr>
      <vt:lpstr>VersaPro</vt:lpstr>
      <vt:lpstr>versaPro_homemoved.nodoka</vt:lpstr>
      <vt:lpstr>modkeys.nodoka</vt:lpstr>
      <vt:lpstr>preview!Print_Area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Mondo Ryosuke</dc:creator>
  <cp:lastModifiedBy>Mondo Ryosuke</cp:lastModifiedBy>
  <dcterms:created xsi:type="dcterms:W3CDTF">2017-01-20T00:25:10Z</dcterms:created>
  <dcterms:modified xsi:type="dcterms:W3CDTF">2017-01-25T09:24:53Z</dcterms:modified>
</cp:coreProperties>
</file>